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0" sheetId="1" r:id="rId5"/>
  </sheets>
  <definedNames/>
  <calcPr/>
</workbook>
</file>

<file path=xl/sharedStrings.xml><?xml version="1.0" encoding="utf-8"?>
<sst xmlns="http://schemas.openxmlformats.org/spreadsheetml/2006/main" count="273" uniqueCount="81">
  <si>
    <t xml:space="preserve"> '</t>
  </si>
  <si>
    <t>Nº MESOCICLO</t>
  </si>
  <si>
    <t>Nº SEMANA</t>
  </si>
  <si>
    <t>iom</t>
  </si>
  <si>
    <t>PESO MEDIO INICIAL DE LA SEMANA</t>
  </si>
  <si>
    <t>SÁBADO</t>
  </si>
  <si>
    <t>DOMINGO</t>
  </si>
  <si>
    <t xml:space="preserve">SENSACIÓN DE FATIGA / CANSANCIO </t>
  </si>
  <si>
    <t>PESO MEDIO FINAL DE LA SEMANA</t>
  </si>
  <si>
    <t>AGUJETAS</t>
  </si>
  <si>
    <t>MOTIVACIÓN / STATUS PSICOLÓGICO</t>
  </si>
  <si>
    <t xml:space="preserve">TIEMPO DE SUEÑO </t>
  </si>
  <si>
    <t>¿HA MEJORADO EL RENDIMIENTO CON RESPECTO A LA SEMANA ANTERIOR?</t>
  </si>
  <si>
    <t>SI</t>
  </si>
  <si>
    <t>CALIDAD SUEÑO/DESCANSO</t>
  </si>
  <si>
    <t>Calentamiento + Movilidad</t>
  </si>
  <si>
    <t>Realizar movilidad y calentamiento de articulaciones con cuerpo corporal/gomas.</t>
  </si>
  <si>
    <t>Dia 1 Plancha dínamicas 30-40 segundos</t>
  </si>
  <si>
    <t>Dia 2 Crunch Polea 2-3 Series + AB Wheel 3X 15</t>
  </si>
  <si>
    <t>TIPO DE ENTRENAMIENTO</t>
  </si>
  <si>
    <t>Upper A</t>
  </si>
  <si>
    <t>VALORACIÓN</t>
  </si>
  <si>
    <t>BUENO</t>
  </si>
  <si>
    <t>READINESS PREVIO AL ENTRENAMIENTO - PRS</t>
  </si>
  <si>
    <t>PRS</t>
  </si>
  <si>
    <t>FECHA</t>
  </si>
  <si>
    <t>SERIE 1</t>
  </si>
  <si>
    <t>SERIE 2</t>
  </si>
  <si>
    <t>SERIE 3</t>
  </si>
  <si>
    <t>SERIE 4</t>
  </si>
  <si>
    <t>SERIE 5</t>
  </si>
  <si>
    <t>RPE</t>
  </si>
  <si>
    <t>DÍA DE ENTRENAMIENTO 1</t>
  </si>
  <si>
    <t>Nº</t>
  </si>
  <si>
    <t>EJERCICIO</t>
  </si>
  <si>
    <t>RPS</t>
  </si>
  <si>
    <t>KGS</t>
  </si>
  <si>
    <t>RIR</t>
  </si>
  <si>
    <t>TONELAJE</t>
  </si>
  <si>
    <t>max kg</t>
  </si>
  <si>
    <t>Press Banca Multipower | 3x | 7-9 RPS | RiR 1</t>
  </si>
  <si>
    <t>Jalón Alto al pecho prono | 3x | 8-10 RPS | RiR 1</t>
  </si>
  <si>
    <t>RPE - ESFUERZO POST ENTRENAMIENTO</t>
  </si>
  <si>
    <t>Remo en polea sentado agarre ancho | 3x | 8-10 RPS | RiR 1</t>
  </si>
  <si>
    <t>Aperturas Bayesian abajo-arriba | 2x | 10-12 RPS | RiR 1</t>
  </si>
  <si>
    <t>Press Francés Barra Z + Curl Bíceps Barra Z | 3x | 8-10 RPS | RiR 1</t>
  </si>
  <si>
    <t>Extensiones unilaterales tríceps polea alta + Curl Bayesian | 2x | 10-12 RPS | RiR 1</t>
  </si>
  <si>
    <t>NOTAS, SENSACIONES Y OBSERVACIONES</t>
  </si>
  <si>
    <t>LEG A</t>
  </si>
  <si>
    <t>DÍA DE ENTRENAMIENTO 2</t>
  </si>
  <si>
    <t>Sentadilla Multipower | 3x | 7-9 RPS | RiR 1</t>
  </si>
  <si>
    <t>Prensa | 3x | 10-12 RPS | RiR 1</t>
  </si>
  <si>
    <t>Extensiones de Cuádriceps | 2x | 12-15 RPS | RiR 1</t>
  </si>
  <si>
    <t>Curl Femoral Sentado | 3x | 8-10 RPS | RiR 1</t>
  </si>
  <si>
    <t>Press Militar Neutro | 3x | 7-9 RPS | RiR 1</t>
  </si>
  <si>
    <t>Elevaciones laterales mancuerna sobre banco | 3x | 12-15 RPS | RiR 1</t>
  </si>
  <si>
    <t>Elevaciones Laterales Polea Tumbado + Posterior en Polea | 2x | 15-20 RPS | RiR 0-1</t>
  </si>
  <si>
    <t>REST</t>
  </si>
  <si>
    <t>DÍA DE ENTRENAMIENTO 3</t>
  </si>
  <si>
    <t xml:space="preserve">ABS + Movilidad </t>
  </si>
  <si>
    <t>Cardio a elegir (Caminar, bici, comba...)</t>
  </si>
  <si>
    <t>UPPER B</t>
  </si>
  <si>
    <t>Curl Bíceps alterno de pie | 3x | 8-10 RPS | RiR 1</t>
  </si>
  <si>
    <t>Kaz Press | 3x | 8-10 RPS | RiR 1</t>
  </si>
  <si>
    <t>Curl Predicador Scott en polea | 2x | 10-12 RPS | RiR 1</t>
  </si>
  <si>
    <t>Extensiones Katana con cuerda | 2x | 10-12 RPS | RiR 1</t>
  </si>
  <si>
    <t>Jalón Alto Agarre U | 3x | 8-10 RPS | RiR 1</t>
  </si>
  <si>
    <t>Press Inclinado Mancuernas | 3x | 8-10 RPS | RiR 1</t>
  </si>
  <si>
    <t>Remo T agarre ancho | 3x | 8-10 RPS | RiR 1</t>
  </si>
  <si>
    <t>Aperturas Bayesian Neutra | 2x | 12-15 RPS | RiR 1</t>
  </si>
  <si>
    <t>LEG B</t>
  </si>
  <si>
    <t>DÍA DE ENTRENAMIENTO 5</t>
  </si>
  <si>
    <t>Abducción + Aducción | 2x | 12-15 RPS | RiR 1</t>
  </si>
  <si>
    <t>12|12</t>
  </si>
  <si>
    <t>13|13</t>
  </si>
  <si>
    <t>Peso Muerto Rumano | 1 Top Set 5-7 RiR 0 | 2 Back Off 8-10 RiR 1</t>
  </si>
  <si>
    <t>Femoral Sentado | 3x | 8-10 RPS | RiR 1</t>
  </si>
  <si>
    <t>Elevaciones laterales de pie en polea | 3x | 12-15 RPS | RiR 0-1</t>
  </si>
  <si>
    <t>Press Militar Barra Multipower | 3x | 7-9 RPS | RiR 1</t>
  </si>
  <si>
    <t>Elevaciones laterales sentado con mancuernas | 2x | 20-25 RPS (Finisher) | RiR 1</t>
  </si>
  <si>
    <t>DÍA DE ENTRENAMIENTO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</si>
</sst>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2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0"/>
      <name val="Calibri"/>
    </font>
    <font>
      <b/>
      <sz val="36.0"/>
      <color theme="1"/>
      <name val="Calibri"/>
    </font>
    <font>
      <b/>
      <sz val="48.0"/>
      <color theme="1"/>
      <name val="Calibri"/>
    </font>
    <font/>
    <font>
      <b/>
      <sz val="12.0"/>
      <color theme="1"/>
      <name val="Calibri"/>
    </font>
    <font>
      <b/>
      <sz val="24.0"/>
      <color theme="1"/>
      <name val="Calibri"/>
    </font>
    <font>
      <b/>
      <sz val="28.0"/>
      <color theme="1"/>
      <name val="Calibri"/>
    </font>
    <font>
      <b/>
      <sz val="22.0"/>
      <color theme="1"/>
      <name val="Calibri"/>
    </font>
    <font>
      <u/>
      <sz val="48.0"/>
      <color rgb="FF0563C1"/>
      <name val="Arial"/>
    </font>
    <font>
      <b/>
      <sz val="25.0"/>
      <color theme="1"/>
      <name val="Calibri"/>
    </font>
    <font>
      <b/>
      <sz val="25.0"/>
      <color theme="1"/>
      <name val="Lexend"/>
    </font>
    <font>
      <b/>
      <sz val="72.0"/>
      <color theme="1"/>
      <name val="Calibri"/>
    </font>
    <font>
      <sz val="30.0"/>
      <color theme="1"/>
      <name val="Calibri"/>
    </font>
    <font>
      <b/>
      <sz val="30.0"/>
      <color theme="1"/>
      <name val="Calibri"/>
    </font>
    <font>
      <b/>
      <sz val="28.0"/>
      <color theme="1"/>
      <name val="Lexend"/>
    </font>
    <font>
      <b/>
      <sz val="26.0"/>
      <color theme="1"/>
      <name val="Calibri"/>
    </font>
    <font>
      <sz val="26.0"/>
      <color theme="1"/>
      <name val="Calibri"/>
    </font>
    <font>
      <sz val="22.0"/>
      <color theme="1"/>
      <name val="Calibri"/>
    </font>
    <font>
      <sz val="20.0"/>
      <color theme="1"/>
      <name val="Calibri"/>
    </font>
    <font>
      <b/>
      <sz val="7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</fills>
  <borders count="5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theme="1"/>
      </left>
    </border>
    <border>
      <right style="medium">
        <color theme="1"/>
      </right>
    </border>
    <border>
      <left style="medium">
        <color rgb="FF000000"/>
      </left>
      <right/>
      <top style="medium">
        <color rgb="FF000000"/>
      </top>
    </border>
    <border>
      <left style="medium">
        <color theme="1"/>
      </left>
      <right style="medium">
        <color theme="1"/>
      </right>
      <top style="medium">
        <color theme="1"/>
      </top>
    </border>
    <border>
      <left/>
      <right/>
      <top style="medium">
        <color rgb="FF000000"/>
      </top>
    </border>
    <border>
      <left style="medium">
        <color theme="1"/>
      </left>
      <right/>
      <top style="medium">
        <color theme="1"/>
      </top>
    </border>
    <border>
      <left/>
      <right style="medium">
        <color theme="1"/>
      </right>
      <top style="medium">
        <color theme="1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theme="1"/>
      </left>
      <bottom style="medium">
        <color theme="1"/>
      </bottom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2" fillId="2" fontId="3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6" numFmtId="0" xfId="0" applyFont="1"/>
    <xf borderId="2" fillId="2" fontId="7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9" fillId="2" fontId="8" numFmtId="0" xfId="0" applyAlignment="1" applyBorder="1" applyFill="1" applyFont="1">
      <alignment horizontal="center" vertical="center"/>
    </xf>
    <xf borderId="10" fillId="0" fontId="5" numFmtId="0" xfId="0" applyBorder="1" applyFont="1"/>
    <xf borderId="2" fillId="0" fontId="8" numFmtId="0" xfId="0" applyAlignment="1" applyBorder="1" applyFont="1">
      <alignment horizontal="right" vertical="center"/>
    </xf>
    <xf borderId="9" fillId="4" fontId="9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shrinkToFit="0" vertical="center" wrapText="1"/>
    </xf>
    <xf borderId="0" fillId="0" fontId="10" numFmtId="49" xfId="0" applyAlignment="1" applyFont="1" applyNumberFormat="1">
      <alignment horizontal="center" vertical="center"/>
    </xf>
    <xf borderId="11" fillId="6" fontId="8" numFmtId="0" xfId="0" applyAlignment="1" applyBorder="1" applyFill="1" applyFont="1">
      <alignment horizontal="right" vertical="center"/>
    </xf>
    <xf borderId="12" fillId="0" fontId="8" numFmtId="0" xfId="0" applyAlignment="1" applyBorder="1" applyFont="1">
      <alignment horizontal="right" vertical="center"/>
    </xf>
    <xf borderId="2" fillId="2" fontId="9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right" vertical="center"/>
    </xf>
    <xf borderId="13" fillId="0" fontId="1" numFmtId="0" xfId="0" applyAlignment="1" applyBorder="1" applyFont="1">
      <alignment vertical="bottom"/>
    </xf>
    <xf borderId="2" fillId="2" fontId="1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bottom"/>
    </xf>
    <xf borderId="9" fillId="7" fontId="12" numFmtId="0" xfId="0" applyAlignment="1" applyBorder="1" applyFill="1" applyFont="1">
      <alignment horizontal="center"/>
    </xf>
    <xf borderId="9" fillId="7" fontId="12" numFmtId="0" xfId="0" applyAlignment="1" applyBorder="1" applyFill="1" applyFont="1">
      <alignment horizontal="center" readingOrder="0"/>
    </xf>
    <xf borderId="11" fillId="2" fontId="3" numFmtId="0" xfId="0" applyAlignment="1" applyBorder="1" applyFill="1" applyFont="1">
      <alignment horizontal="right" vertical="center"/>
    </xf>
    <xf borderId="14" fillId="0" fontId="5" numFmtId="0" xfId="0" applyBorder="1" applyFont="1"/>
    <xf borderId="11" fillId="0" fontId="8" numFmtId="0" xfId="0" applyAlignment="1" applyBorder="1" applyFont="1">
      <alignment horizontal="center" readingOrder="0" vertical="center"/>
    </xf>
    <xf borderId="15" fillId="0" fontId="5" numFmtId="0" xfId="0" applyBorder="1" applyFont="1"/>
    <xf borderId="16" fillId="2" fontId="3" numFmtId="0" xfId="0" applyAlignment="1" applyBorder="1" applyFill="1" applyFont="1">
      <alignment horizontal="right" vertical="center"/>
    </xf>
    <xf borderId="17" fillId="0" fontId="5" numFmtId="0" xfId="0" applyBorder="1" applyFont="1"/>
    <xf borderId="18" fillId="0" fontId="5" numFmtId="0" xfId="0" applyBorder="1" applyFont="1"/>
    <xf borderId="9" fillId="0" fontId="3" numFmtId="0" xfId="0" applyAlignment="1" applyBorder="1" applyFont="1">
      <alignment horizontal="center" vertical="center"/>
    </xf>
    <xf borderId="19" fillId="0" fontId="5" numFmtId="0" xfId="0" applyBorder="1" applyFont="1"/>
    <xf borderId="14" fillId="0" fontId="1" numFmtId="0" xfId="0" applyBorder="1" applyFont="1"/>
    <xf borderId="20" fillId="8" fontId="4" numFmtId="0" xfId="0" applyAlignment="1" applyBorder="1" applyFill="1" applyFont="1">
      <alignment horizontal="center" shrinkToFit="0" vertical="center" wrapText="1"/>
    </xf>
    <xf borderId="21" fillId="0" fontId="5" numFmtId="0" xfId="0" applyBorder="1" applyFont="1"/>
    <xf borderId="22" fillId="0" fontId="5" numFmtId="0" xfId="0" applyBorder="1" applyFont="1"/>
    <xf borderId="20" fillId="5" fontId="13" numFmtId="0" xfId="0" applyAlignment="1" applyBorder="1" applyFill="1" applyFont="1">
      <alignment horizontal="center" readingOrder="0" vertical="center"/>
    </xf>
    <xf borderId="23" fillId="2" fontId="7" numFmtId="0" xfId="0" applyAlignment="1" applyBorder="1" applyFill="1" applyFont="1">
      <alignment horizontal="right" vertical="center"/>
    </xf>
    <xf borderId="2" fillId="0" fontId="3" numFmtId="164" xfId="0" applyAlignment="1" applyBorder="1" applyFont="1" applyNumberFormat="1">
      <alignment horizontal="center" vertical="center"/>
    </xf>
    <xf borderId="24" fillId="2" fontId="4" numFmtId="0" xfId="0" applyAlignment="1" applyBorder="1" applyFill="1" applyFont="1">
      <alignment horizontal="center" vertical="center"/>
    </xf>
    <xf borderId="25" fillId="0" fontId="5" numFmtId="0" xfId="0" applyBorder="1" applyFont="1"/>
    <xf borderId="26" fillId="0" fontId="5" numFmtId="0" xfId="0" applyBorder="1" applyFont="1"/>
    <xf borderId="27" fillId="2" fontId="4" numFmtId="0" xfId="0" applyAlignment="1" applyBorder="1" applyFill="1" applyFont="1">
      <alignment horizontal="center" vertical="center"/>
    </xf>
    <xf borderId="6" fillId="2" fontId="4" numFmtId="0" xfId="0" applyAlignment="1" applyBorder="1" applyFill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1" fillId="2" fontId="4" numFmtId="0" xfId="0" applyAlignment="1" applyBorder="1" applyFill="1" applyFont="1">
      <alignment horizontal="center" shrinkToFit="0" textRotation="90" vertical="center" wrapText="1"/>
    </xf>
    <xf borderId="23" fillId="2" fontId="3" numFmtId="0" xfId="0" applyAlignment="1" applyBorder="1" applyFill="1" applyFont="1">
      <alignment horizontal="center"/>
    </xf>
    <xf borderId="30" fillId="2" fontId="3" numFmtId="0" xfId="0" applyAlignment="1" applyBorder="1" applyFill="1" applyFont="1">
      <alignment horizontal="center" vertical="center"/>
    </xf>
    <xf borderId="31" fillId="2" fontId="14" numFmtId="0" xfId="0" applyAlignment="1" applyBorder="1" applyFill="1" applyFont="1">
      <alignment horizontal="center" readingOrder="0" vertical="center"/>
    </xf>
    <xf borderId="32" fillId="2" fontId="15" numFmtId="0" xfId="0" applyAlignment="1" applyBorder="1" applyFill="1" applyFont="1">
      <alignment horizontal="center" vertical="center"/>
    </xf>
    <xf borderId="33" fillId="2" fontId="15" numFmtId="0" xfId="0" applyAlignment="1" applyBorder="1" applyFill="1" applyFont="1">
      <alignment horizontal="center" vertical="center"/>
    </xf>
    <xf borderId="31" fillId="2" fontId="15" numFmtId="0" xfId="0" applyAlignment="1" applyBorder="1" applyFill="1" applyFont="1">
      <alignment horizontal="center" readingOrder="0" vertical="center"/>
    </xf>
    <xf borderId="31" fillId="2" fontId="15" numFmtId="0" xfId="0" applyAlignment="1" applyBorder="1" applyFill="1" applyFont="1">
      <alignment horizontal="center" vertical="center"/>
    </xf>
    <xf borderId="34" fillId="2" fontId="15" numFmtId="0" xfId="0" applyAlignment="1" applyBorder="1" applyFill="1" applyFont="1">
      <alignment horizontal="center" readingOrder="0" vertical="center"/>
    </xf>
    <xf borderId="35" fillId="2" fontId="15" numFmtId="0" xfId="0" applyAlignment="1" applyBorder="1" applyFill="1" applyFont="1">
      <alignment horizontal="center" vertical="center"/>
    </xf>
    <xf borderId="36" fillId="9" fontId="7" numFmtId="0" xfId="0" applyAlignment="1" applyBorder="1" applyFill="1" applyFont="1">
      <alignment horizontal="center" vertical="center"/>
    </xf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2" fillId="0" fontId="8" numFmtId="0" xfId="0" applyAlignment="1" applyBorder="1" applyFont="1">
      <alignment horizontal="center" vertical="center"/>
    </xf>
    <xf borderId="41" fillId="0" fontId="16" numFmtId="0" xfId="0" applyAlignment="1" applyBorder="1" applyFont="1">
      <alignment readingOrder="0"/>
    </xf>
    <xf borderId="41" fillId="0" fontId="17" numFmtId="0" xfId="0" applyAlignment="1" applyBorder="1" applyFont="1">
      <alignment horizontal="center" readingOrder="0" vertical="center"/>
    </xf>
    <xf borderId="41" fillId="0" fontId="17" numFmtId="0" xfId="0" applyAlignment="1" applyBorder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42" fillId="0" fontId="18" numFmtId="0" xfId="0" applyAlignment="1" applyBorder="1" applyFont="1">
      <alignment horizontal="center" vertical="center"/>
    </xf>
    <xf borderId="43" fillId="10" fontId="9" numFmtId="0" xfId="0" applyAlignment="1" applyBorder="1" applyFill="1" applyFont="1">
      <alignment horizontal="center" vertical="center"/>
    </xf>
    <xf borderId="44" fillId="11" fontId="9" numFmtId="0" xfId="0" applyAlignment="1" applyBorder="1" applyFill="1" applyFont="1">
      <alignment horizontal="center" vertical="center"/>
    </xf>
    <xf borderId="44" fillId="12" fontId="9" numFmtId="0" xfId="0" applyAlignment="1" applyBorder="1" applyFill="1" applyFont="1">
      <alignment horizontal="center" vertical="center"/>
    </xf>
    <xf borderId="44" fillId="13" fontId="9" numFmtId="0" xfId="0" applyAlignment="1" applyBorder="1" applyFill="1" applyFont="1">
      <alignment horizontal="center" vertical="center"/>
    </xf>
    <xf borderId="44" fillId="14" fontId="9" numFmtId="0" xfId="0" applyAlignment="1" applyBorder="1" applyFill="1" applyFont="1">
      <alignment horizontal="center" vertical="center"/>
    </xf>
    <xf borderId="44" fillId="15" fontId="9" numFmtId="0" xfId="0" applyAlignment="1" applyBorder="1" applyFill="1" applyFont="1">
      <alignment horizontal="center" vertical="center"/>
    </xf>
    <xf borderId="45" fillId="16" fontId="9" numFmtId="0" xfId="0" applyAlignment="1" applyBorder="1" applyFill="1" applyFont="1">
      <alignment horizontal="center" vertical="center"/>
    </xf>
    <xf borderId="45" fillId="17" fontId="9" numFmtId="0" xfId="0" applyAlignment="1" applyBorder="1" applyFill="1" applyFont="1">
      <alignment horizontal="center" vertical="center"/>
    </xf>
    <xf borderId="45" fillId="18" fontId="9" numFmtId="0" xfId="0" applyAlignment="1" applyBorder="1" applyFill="1" applyFont="1">
      <alignment horizontal="center" vertical="center"/>
    </xf>
    <xf borderId="46" fillId="19" fontId="9" numFmtId="0" xfId="0" applyAlignment="1" applyBorder="1" applyFill="1" applyFont="1">
      <alignment horizontal="center" vertical="center"/>
    </xf>
    <xf borderId="47" fillId="6" fontId="8" numFmtId="0" xfId="0" applyAlignment="1" applyBorder="1" applyFill="1" applyFont="1">
      <alignment horizontal="center" vertical="center"/>
    </xf>
    <xf borderId="41" fillId="6" fontId="16" numFmtId="0" xfId="0" applyAlignment="1" applyBorder="1" applyFill="1" applyFont="1">
      <alignment readingOrder="0"/>
    </xf>
    <xf borderId="41" fillId="6" fontId="17" numFmtId="0" xfId="0" applyAlignment="1" applyBorder="1" applyFill="1" applyFont="1">
      <alignment horizontal="center" readingOrder="0" vertical="center"/>
    </xf>
    <xf borderId="41" fillId="6" fontId="17" numFmtId="0" xfId="0" applyAlignment="1" applyBorder="1" applyFill="1" applyFont="1">
      <alignment horizontal="center" vertical="center"/>
    </xf>
    <xf borderId="41" fillId="6" fontId="18" numFmtId="0" xfId="0" applyAlignment="1" applyBorder="1" applyFill="1" applyFont="1">
      <alignment horizontal="center" vertical="center"/>
    </xf>
    <xf borderId="42" fillId="6" fontId="18" numFmtId="0" xfId="0" applyAlignment="1" applyBorder="1" applyFill="1" applyFont="1">
      <alignment horizontal="center" vertical="center"/>
    </xf>
    <xf borderId="20" fillId="6" fontId="4" numFmtId="0" xfId="0" applyAlignment="1" applyBorder="1" applyFill="1" applyFont="1">
      <alignment horizontal="center" shrinkToFit="0" vertical="center" wrapText="1"/>
    </xf>
    <xf borderId="20" fillId="3" fontId="13" numFmtId="0" xfId="0" applyAlignment="1" applyBorder="1" applyFill="1" applyFont="1">
      <alignment horizontal="center" readingOrder="0" vertical="center"/>
    </xf>
    <xf borderId="12" fillId="0" fontId="8" numFmtId="0" xfId="0" applyAlignment="1" applyBorder="1" applyFont="1">
      <alignment horizontal="center" vertical="center"/>
    </xf>
    <xf borderId="43" fillId="19" fontId="9" numFmtId="0" xfId="0" applyAlignment="1" applyBorder="1" applyFill="1" applyFont="1">
      <alignment horizontal="center" vertical="center"/>
    </xf>
    <xf borderId="44" fillId="18" fontId="9" numFmtId="0" xfId="0" applyAlignment="1" applyBorder="1" applyFill="1" applyFont="1">
      <alignment horizontal="center" vertical="center"/>
    </xf>
    <xf borderId="44" fillId="17" fontId="9" numFmtId="0" xfId="0" applyAlignment="1" applyBorder="1" applyFill="1" applyFont="1">
      <alignment horizontal="center" vertical="center"/>
    </xf>
    <xf borderId="44" fillId="16" fontId="9" numFmtId="0" xfId="0" applyAlignment="1" applyBorder="1" applyFill="1" applyFont="1">
      <alignment horizontal="center" vertical="center"/>
    </xf>
    <xf borderId="48" fillId="10" fontId="9" numFmtId="0" xfId="0" applyAlignment="1" applyBorder="1" applyFill="1" applyFont="1">
      <alignment horizontal="center" vertical="center"/>
    </xf>
    <xf borderId="41" fillId="6" fontId="18" numFmtId="0" xfId="0" applyAlignment="1" applyBorder="1" applyFill="1" applyFont="1">
      <alignment horizontal="center" readingOrder="0" vertical="center"/>
    </xf>
    <xf borderId="41" fillId="0" fontId="18" numFmtId="0" xfId="0" applyAlignment="1" applyBorder="1" applyFont="1">
      <alignment horizontal="center" readingOrder="0" vertical="center"/>
    </xf>
    <xf borderId="11" fillId="5" fontId="3" numFmtId="0" xfId="0" applyAlignment="1" applyBorder="1" applyFill="1" applyFont="1">
      <alignment horizontal="center" vertical="center"/>
    </xf>
    <xf borderId="2" fillId="4" fontId="19" numFmtId="0" xfId="0" applyAlignment="1" applyBorder="1" applyFill="1" applyFont="1">
      <alignment horizontal="center" shrinkToFit="0" vertical="center" wrapText="1"/>
    </xf>
    <xf borderId="49" fillId="0" fontId="16" numFmtId="0" xfId="0" applyAlignment="1" applyBorder="1" applyFont="1">
      <alignment readingOrder="0"/>
    </xf>
    <xf borderId="12" fillId="0" fontId="5" numFmtId="0" xfId="0" applyBorder="1" applyFont="1"/>
    <xf borderId="13" fillId="0" fontId="5" numFmtId="0" xfId="0" applyBorder="1" applyFont="1"/>
    <xf borderId="41" fillId="6" fontId="8" numFmtId="0" xfId="0" applyAlignment="1" applyBorder="1" applyFill="1" applyFont="1">
      <alignment horizontal="left" vertical="center"/>
    </xf>
    <xf borderId="6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  <xf borderId="33" fillId="2" fontId="15" numFmtId="0" xfId="0" applyAlignment="1" applyBorder="1" applyFill="1" applyFont="1">
      <alignment horizontal="center" readingOrder="0" vertical="center"/>
    </xf>
    <xf borderId="2" fillId="4" fontId="19" numFmtId="0" xfId="0" applyAlignment="1" applyBorder="1" applyFill="1" applyFont="1">
      <alignment horizontal="center" readingOrder="0" shrinkToFit="0" vertical="center" wrapText="1"/>
    </xf>
    <xf borderId="41" fillId="0" fontId="16" numFmtId="0" xfId="0" applyBorder="1" applyFont="1"/>
    <xf borderId="41" fillId="6" fontId="16" numFmtId="0" xfId="0" applyBorder="1" applyFill="1" applyFont="1"/>
    <xf borderId="10" fillId="6" fontId="18" numFmtId="0" xfId="0" applyAlignment="1" applyBorder="1" applyFill="1" applyFont="1">
      <alignment horizontal="center" vertical="center"/>
    </xf>
    <xf borderId="49" fillId="0" fontId="16" numFmtId="0" xfId="0" applyBorder="1" applyFont="1"/>
    <xf borderId="10" fillId="6" fontId="18" numFmtId="0" xfId="0" applyAlignment="1" applyBorder="1" applyFill="1" applyFont="1">
      <alignment horizontal="center" readingOrder="0" vertical="center"/>
    </xf>
    <xf borderId="20" fillId="5" fontId="2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1171575</xdr:colOff>
      <xdr:row>64</xdr:row>
      <xdr:rowOff>466725</xdr:rowOff>
    </xdr:from>
    <xdr:ext cx="2028825" cy="20478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47625</xdr:colOff>
      <xdr:row>79</xdr:row>
      <xdr:rowOff>428625</xdr:rowOff>
    </xdr:from>
    <xdr:ext cx="1885950" cy="1895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333375</xdr:colOff>
      <xdr:row>90</xdr:row>
      <xdr:rowOff>495300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</xdr:colOff>
      <xdr:row>94</xdr:row>
      <xdr:rowOff>542925</xdr:rowOff>
    </xdr:from>
    <xdr:ext cx="1790700" cy="18002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90</xdr:row>
      <xdr:rowOff>390525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371475</xdr:colOff>
      <xdr:row>75</xdr:row>
      <xdr:rowOff>476250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</xdr:colOff>
      <xdr:row>75</xdr:row>
      <xdr:rowOff>390525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371475</xdr:colOff>
      <xdr:row>60</xdr:row>
      <xdr:rowOff>352425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1047750</xdr:colOff>
      <xdr:row>60</xdr:row>
      <xdr:rowOff>180975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9525</xdr:colOff>
      <xdr:row>50</xdr:row>
      <xdr:rowOff>38100</xdr:rowOff>
    </xdr:from>
    <xdr:ext cx="1676400" cy="1695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390525</xdr:colOff>
      <xdr:row>45</xdr:row>
      <xdr:rowOff>514350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1047750</xdr:colOff>
      <xdr:row>45</xdr:row>
      <xdr:rowOff>390525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19050</xdr:colOff>
      <xdr:row>34</xdr:row>
      <xdr:rowOff>504825</xdr:rowOff>
    </xdr:from>
    <xdr:ext cx="1847850" cy="18669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35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352425</xdr:colOff>
      <xdr:row>30</xdr:row>
      <xdr:rowOff>514350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1076325</xdr:colOff>
      <xdr:row>30</xdr:row>
      <xdr:rowOff>409575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1133475</xdr:colOff>
      <xdr:row>19</xdr:row>
      <xdr:rowOff>485775</xdr:rowOff>
    </xdr:from>
    <xdr:ext cx="2028825" cy="20478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371475</xdr:colOff>
      <xdr:row>15</xdr:row>
      <xdr:rowOff>495300</xdr:rowOff>
    </xdr:from>
    <xdr:ext cx="1057275" cy="1914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47625</xdr:colOff>
      <xdr:row>15</xdr:row>
      <xdr:rowOff>409575</xdr:rowOff>
    </xdr:from>
    <xdr:ext cx="1200150" cy="2095500"/>
    <xdr:pic>
      <xdr:nvPicPr>
        <xdr:cNvPr descr="Battery level icon png, Picture #426807 battery level icon png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35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35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50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65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80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95</xdr:row>
      <xdr:rowOff>19050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19</xdr:row>
      <xdr:rowOff>619125</xdr:rowOff>
    </xdr:from>
    <xdr:ext cx="2057400" cy="2076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285750</xdr:colOff>
      <xdr:row>0</xdr:row>
      <xdr:rowOff>228600</xdr:rowOff>
    </xdr:from>
    <xdr:ext cx="5743575" cy="578167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D0E1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  <col customWidth="1" min="2" max="2" width="14.63"/>
    <col customWidth="1" min="3" max="3" width="226.63"/>
    <col customWidth="1" min="4" max="13" width="15.0"/>
    <col customWidth="1" min="14" max="14" width="19.13"/>
    <col customWidth="1" min="15" max="18" width="15.0"/>
    <col customWidth="1" min="19" max="19" width="22.13"/>
    <col customWidth="1" min="20" max="20" width="22.5"/>
    <col customWidth="1" min="21" max="30" width="16.13"/>
    <col customWidth="1" min="31" max="31" width="17.0"/>
    <col customWidth="1" min="32" max="32" width="10.63"/>
    <col customWidth="1" min="33" max="33" width="17.0"/>
    <col customWidth="1" min="34" max="34" width="11.63"/>
    <col customWidth="1" min="35" max="45" width="15.88"/>
    <col customWidth="1" min="46" max="65" width="11.63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ht="28.5" customHeight="1">
      <c r="A2" s="2"/>
      <c r="B2" s="2"/>
      <c r="C2" s="4" t="s">
        <v>1</v>
      </c>
      <c r="D2" s="5">
        <v>7.0</v>
      </c>
      <c r="E2" s="6"/>
      <c r="F2" s="2"/>
      <c r="G2" s="7" t="s">
        <v>2</v>
      </c>
      <c r="H2" s="8"/>
      <c r="I2" s="8"/>
      <c r="J2" s="6"/>
      <c r="K2" s="5">
        <v>1.0</v>
      </c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 t="str">
        <f>X4</f>
        <v/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ht="28.5" customHeight="1">
      <c r="A3" s="2"/>
      <c r="B3" s="2"/>
      <c r="C3" s="9"/>
      <c r="D3" s="10"/>
      <c r="E3" s="11"/>
      <c r="F3" s="2"/>
      <c r="G3" s="10"/>
      <c r="H3" s="12"/>
      <c r="I3" s="12"/>
      <c r="J3" s="11"/>
      <c r="K3" s="10"/>
      <c r="L3" s="11"/>
      <c r="M3" s="2"/>
      <c r="N3" s="2"/>
      <c r="O3" s="3" t="s">
        <v>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ht="28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3"/>
      <c r="N4" s="2"/>
      <c r="O4" s="2"/>
      <c r="P4" s="2"/>
      <c r="Q4" s="2"/>
      <c r="R4" s="2"/>
      <c r="S4" s="2"/>
      <c r="T4" s="14" t="s">
        <v>4</v>
      </c>
      <c r="U4" s="8"/>
      <c r="V4" s="8"/>
      <c r="W4" s="6"/>
      <c r="X4" s="15"/>
      <c r="Y4" s="6"/>
      <c r="Z4" s="2"/>
      <c r="AA4" s="2"/>
      <c r="AB4" s="2"/>
      <c r="AC4" s="2"/>
      <c r="AD4" s="2"/>
      <c r="AE4" s="2"/>
      <c r="AF4" s="2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ht="33.75" customHeight="1">
      <c r="A5" s="2"/>
      <c r="B5" s="2"/>
      <c r="C5" s="2"/>
      <c r="D5" s="16"/>
      <c r="E5" s="17"/>
      <c r="F5" s="16"/>
      <c r="G5" s="17"/>
      <c r="H5" s="16"/>
      <c r="I5" s="17"/>
      <c r="J5" s="16"/>
      <c r="K5" s="17"/>
      <c r="L5" s="16"/>
      <c r="M5" s="17"/>
      <c r="N5" s="16" t="s">
        <v>5</v>
      </c>
      <c r="O5" s="17"/>
      <c r="P5" s="16" t="s">
        <v>6</v>
      </c>
      <c r="Q5" s="17"/>
      <c r="R5" s="2"/>
      <c r="S5" s="2"/>
      <c r="T5" s="10"/>
      <c r="U5" s="12"/>
      <c r="V5" s="12"/>
      <c r="W5" s="11"/>
      <c r="X5" s="10"/>
      <c r="Y5" s="11"/>
      <c r="Z5" s="2"/>
      <c r="AA5" s="2"/>
      <c r="AB5" s="2"/>
      <c r="AC5" s="2"/>
      <c r="AD5" s="2"/>
      <c r="AE5" s="2"/>
      <c r="AF5" s="2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ht="33.75" customHeight="1">
      <c r="A6" s="2"/>
      <c r="B6" s="2"/>
      <c r="C6" s="18" t="s">
        <v>7</v>
      </c>
      <c r="D6" s="19">
        <v>1.0</v>
      </c>
      <c r="E6" s="17"/>
      <c r="F6" s="19">
        <v>1.0</v>
      </c>
      <c r="G6" s="17"/>
      <c r="H6" s="19">
        <v>1.0</v>
      </c>
      <c r="I6" s="17"/>
      <c r="J6" s="19">
        <v>7.0</v>
      </c>
      <c r="K6" s="17"/>
      <c r="L6" s="19">
        <v>7.0</v>
      </c>
      <c r="M6" s="17"/>
      <c r="N6" s="19"/>
      <c r="O6" s="17"/>
      <c r="P6" s="19"/>
      <c r="Q6" s="17"/>
      <c r="R6" s="2"/>
      <c r="S6" s="2"/>
      <c r="T6" s="14" t="s">
        <v>8</v>
      </c>
      <c r="U6" s="8"/>
      <c r="V6" s="8"/>
      <c r="W6" s="6"/>
      <c r="X6" s="20"/>
      <c r="Y6" s="6"/>
      <c r="Z6" s="2"/>
      <c r="AA6" s="21"/>
      <c r="AE6" s="2"/>
      <c r="AF6" s="2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33.75" customHeight="1">
      <c r="A7" s="2"/>
      <c r="B7" s="2"/>
      <c r="C7" s="22" t="s">
        <v>9</v>
      </c>
      <c r="D7" s="19">
        <v>1.0</v>
      </c>
      <c r="E7" s="17"/>
      <c r="F7" s="19">
        <v>1.0</v>
      </c>
      <c r="G7" s="17"/>
      <c r="H7" s="19">
        <v>1.0</v>
      </c>
      <c r="I7" s="17"/>
      <c r="J7" s="19">
        <v>1.0</v>
      </c>
      <c r="K7" s="17"/>
      <c r="L7" s="19">
        <v>8.0</v>
      </c>
      <c r="M7" s="17"/>
      <c r="N7" s="19"/>
      <c r="O7" s="17"/>
      <c r="P7" s="19"/>
      <c r="Q7" s="17"/>
      <c r="R7" s="2"/>
      <c r="S7" s="2"/>
      <c r="T7" s="10"/>
      <c r="U7" s="12"/>
      <c r="V7" s="12"/>
      <c r="W7" s="11"/>
      <c r="X7" s="10"/>
      <c r="Y7" s="11"/>
      <c r="Z7" s="2"/>
      <c r="AE7" s="2"/>
      <c r="AF7" s="2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ht="33.75" customHeight="1">
      <c r="A8" s="2"/>
      <c r="B8" s="2"/>
      <c r="C8" s="23" t="s">
        <v>10</v>
      </c>
      <c r="D8" s="19">
        <v>1.0</v>
      </c>
      <c r="E8" s="17"/>
      <c r="F8" s="19">
        <v>1.0</v>
      </c>
      <c r="G8" s="17"/>
      <c r="H8" s="19">
        <v>1.0</v>
      </c>
      <c r="I8" s="17"/>
      <c r="J8" s="19">
        <v>7.0</v>
      </c>
      <c r="K8" s="17"/>
      <c r="L8" s="19">
        <v>7.0</v>
      </c>
      <c r="M8" s="17"/>
      <c r="N8" s="19"/>
      <c r="O8" s="17"/>
      <c r="P8" s="19"/>
      <c r="Q8" s="17"/>
      <c r="R8" s="2"/>
      <c r="S8" s="2"/>
      <c r="T8" s="2"/>
      <c r="U8" s="2"/>
      <c r="V8" s="2"/>
      <c r="W8" s="2"/>
      <c r="X8" s="2"/>
      <c r="Y8" s="2"/>
      <c r="Z8" s="2"/>
      <c r="AE8" s="2"/>
      <c r="AF8" s="2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ht="33.75" customHeight="1">
      <c r="A9" s="2"/>
      <c r="B9" s="2"/>
      <c r="C9" s="22" t="s">
        <v>11</v>
      </c>
      <c r="D9" s="19">
        <v>7.0</v>
      </c>
      <c r="E9" s="17"/>
      <c r="F9" s="19">
        <v>7.0</v>
      </c>
      <c r="G9" s="17"/>
      <c r="H9" s="19">
        <v>7.0</v>
      </c>
      <c r="I9" s="17"/>
      <c r="J9" s="19">
        <v>7.0</v>
      </c>
      <c r="K9" s="17"/>
      <c r="L9" s="19"/>
      <c r="M9" s="17"/>
      <c r="N9" s="19"/>
      <c r="O9" s="17"/>
      <c r="P9" s="19"/>
      <c r="Q9" s="17"/>
      <c r="R9" s="2"/>
      <c r="S9" s="2"/>
      <c r="T9" s="24" t="s">
        <v>12</v>
      </c>
      <c r="U9" s="8"/>
      <c r="V9" s="8"/>
      <c r="W9" s="6"/>
      <c r="X9" s="25" t="s">
        <v>13</v>
      </c>
      <c r="Y9" s="6"/>
      <c r="Z9" s="2"/>
      <c r="AA9" s="2"/>
      <c r="AB9" s="2"/>
      <c r="AC9" s="2"/>
      <c r="AD9" s="2"/>
      <c r="AE9" s="2"/>
      <c r="AF9" s="2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ht="33.75" customHeight="1">
      <c r="A10" s="2"/>
      <c r="B10" s="2"/>
      <c r="C10" s="26" t="s">
        <v>14</v>
      </c>
      <c r="D10" s="19">
        <v>6.0</v>
      </c>
      <c r="E10" s="17"/>
      <c r="F10" s="19">
        <v>6.0</v>
      </c>
      <c r="G10" s="17"/>
      <c r="H10" s="19">
        <v>6.0</v>
      </c>
      <c r="I10" s="17"/>
      <c r="J10" s="19">
        <v>6.0</v>
      </c>
      <c r="K10" s="17"/>
      <c r="L10" s="19"/>
      <c r="M10" s="17"/>
      <c r="N10" s="19"/>
      <c r="O10" s="17"/>
      <c r="P10" s="19"/>
      <c r="Q10" s="17"/>
      <c r="R10" s="2"/>
      <c r="S10" s="2"/>
      <c r="T10" s="10"/>
      <c r="U10" s="12"/>
      <c r="V10" s="12"/>
      <c r="W10" s="11"/>
      <c r="X10" s="10"/>
      <c r="Y10" s="11"/>
      <c r="Z10" s="2"/>
      <c r="AA10" s="2"/>
      <c r="AB10" s="2"/>
      <c r="AC10" s="2"/>
      <c r="AD10" s="2"/>
      <c r="AE10" s="2"/>
      <c r="AF10" s="2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ht="28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ht="28.5" customHeight="1">
      <c r="A12" s="27"/>
      <c r="B12" s="28" t="s">
        <v>15</v>
      </c>
      <c r="C12" s="6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</row>
    <row r="13" ht="28.5" customHeight="1">
      <c r="A13" s="29"/>
      <c r="B13" s="30" t="s">
        <v>16</v>
      </c>
      <c r="C13" s="17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</row>
    <row r="14" ht="28.5" customHeight="1">
      <c r="A14" s="2"/>
      <c r="B14" s="31" t="s">
        <v>17</v>
      </c>
      <c r="C14" s="1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2"/>
      <c r="T14" s="2"/>
      <c r="U14" s="2"/>
      <c r="V14" s="3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ht="28.5" customHeight="1">
      <c r="A15" s="2"/>
      <c r="B15" s="31" t="s">
        <v>18</v>
      </c>
      <c r="C15" s="1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 t="s">
        <v>3</v>
      </c>
      <c r="S15" s="2"/>
      <c r="T15" s="2"/>
      <c r="U15" s="2"/>
      <c r="V15" s="3" t="s">
        <v>3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ht="45.0" customHeight="1">
      <c r="A16" s="2"/>
      <c r="B16" s="2"/>
      <c r="C16" s="2"/>
      <c r="D16" s="2"/>
      <c r="E16" s="2"/>
      <c r="F16" s="2"/>
      <c r="G16" s="2"/>
      <c r="H16" s="3" t="s">
        <v>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ht="54.75" customHeight="1">
      <c r="A17" s="2"/>
      <c r="B17" s="32" t="s">
        <v>19</v>
      </c>
      <c r="C17" s="33"/>
      <c r="D17" s="34" t="s">
        <v>20</v>
      </c>
      <c r="E17" s="35"/>
      <c r="F17" s="35"/>
      <c r="G17" s="35"/>
      <c r="H17" s="35"/>
      <c r="I17" s="35"/>
      <c r="J17" s="35"/>
      <c r="K17" s="33"/>
      <c r="L17" s="36" t="s">
        <v>21</v>
      </c>
      <c r="M17" s="37"/>
      <c r="N17" s="38"/>
      <c r="O17" s="39" t="s">
        <v>22</v>
      </c>
      <c r="P17" s="40"/>
      <c r="Q17" s="17"/>
      <c r="R17" s="41"/>
      <c r="S17" s="3" t="s">
        <v>3</v>
      </c>
      <c r="T17" s="2"/>
      <c r="U17" s="42" t="s">
        <v>23</v>
      </c>
      <c r="V17" s="43"/>
      <c r="W17" s="43"/>
      <c r="X17" s="43"/>
      <c r="Y17" s="43"/>
      <c r="Z17" s="44"/>
      <c r="AA17" s="45"/>
      <c r="AB17" s="43"/>
      <c r="AC17" s="43"/>
      <c r="AD17" s="44"/>
      <c r="AE17" s="2"/>
      <c r="AF17" s="2"/>
      <c r="AG17" s="3" t="str">
        <f>AA17</f>
        <v/>
      </c>
      <c r="AH17" s="3" t="s">
        <v>24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ht="48.0" customHeight="1">
      <c r="A18" s="2"/>
      <c r="B18" s="46" t="s">
        <v>25</v>
      </c>
      <c r="C18" s="47"/>
      <c r="D18" s="48" t="s">
        <v>26</v>
      </c>
      <c r="E18" s="49"/>
      <c r="F18" s="50"/>
      <c r="G18" s="51" t="s">
        <v>27</v>
      </c>
      <c r="H18" s="49"/>
      <c r="I18" s="49"/>
      <c r="J18" s="48" t="s">
        <v>28</v>
      </c>
      <c r="K18" s="49"/>
      <c r="L18" s="50"/>
      <c r="M18" s="51" t="s">
        <v>29</v>
      </c>
      <c r="N18" s="49"/>
      <c r="O18" s="49"/>
      <c r="P18" s="52" t="s">
        <v>30</v>
      </c>
      <c r="Q18" s="12"/>
      <c r="R18" s="11"/>
      <c r="S18" s="2"/>
      <c r="T18" s="2"/>
      <c r="U18" s="53"/>
      <c r="Z18" s="54"/>
      <c r="AA18" s="53"/>
      <c r="AD18" s="54"/>
      <c r="AE18" s="2"/>
      <c r="AF18" s="2"/>
      <c r="AG18" s="3" t="str">
        <f>AA21</f>
        <v/>
      </c>
      <c r="AH18" s="3" t="s">
        <v>31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ht="48.0" customHeight="1">
      <c r="A19" s="55" t="s">
        <v>32</v>
      </c>
      <c r="B19" s="56" t="s">
        <v>33</v>
      </c>
      <c r="C19" s="57" t="s">
        <v>34</v>
      </c>
      <c r="D19" s="58" t="s">
        <v>35</v>
      </c>
      <c r="E19" s="59" t="s">
        <v>36</v>
      </c>
      <c r="F19" s="60" t="s">
        <v>37</v>
      </c>
      <c r="G19" s="61" t="s">
        <v>35</v>
      </c>
      <c r="H19" s="62" t="s">
        <v>36</v>
      </c>
      <c r="I19" s="62" t="s">
        <v>37</v>
      </c>
      <c r="J19" s="63" t="s">
        <v>35</v>
      </c>
      <c r="K19" s="62" t="s">
        <v>36</v>
      </c>
      <c r="L19" s="60" t="s">
        <v>37</v>
      </c>
      <c r="M19" s="61" t="s">
        <v>35</v>
      </c>
      <c r="N19" s="62" t="s">
        <v>36</v>
      </c>
      <c r="O19" s="62" t="s">
        <v>37</v>
      </c>
      <c r="P19" s="63" t="s">
        <v>35</v>
      </c>
      <c r="Q19" s="62" t="s">
        <v>36</v>
      </c>
      <c r="R19" s="64" t="s">
        <v>37</v>
      </c>
      <c r="S19" s="65" t="s">
        <v>38</v>
      </c>
      <c r="T19" s="2"/>
      <c r="U19" s="66"/>
      <c r="V19" s="67"/>
      <c r="W19" s="67"/>
      <c r="X19" s="67"/>
      <c r="Y19" s="67"/>
      <c r="Z19" s="68"/>
      <c r="AA19" s="66"/>
      <c r="AB19" s="67"/>
      <c r="AC19" s="67"/>
      <c r="AD19" s="68"/>
      <c r="AE19" s="2"/>
      <c r="AF19" s="2"/>
      <c r="AG19" s="3"/>
      <c r="AH19" s="3" t="s">
        <v>39</v>
      </c>
      <c r="AI19" s="3"/>
      <c r="AJ19" s="3" t="str">
        <f>O17</f>
        <v>BUENO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ht="49.5" customHeight="1">
      <c r="A20" s="69"/>
      <c r="B20" s="70">
        <v>1.0</v>
      </c>
      <c r="C20" s="71" t="s">
        <v>40</v>
      </c>
      <c r="D20" s="72"/>
      <c r="E20" s="72"/>
      <c r="F20" s="72"/>
      <c r="G20" s="72"/>
      <c r="H20" s="72"/>
      <c r="I20" s="72"/>
      <c r="J20" s="72"/>
      <c r="K20" s="72"/>
      <c r="L20" s="72"/>
      <c r="M20" s="73"/>
      <c r="N20" s="73"/>
      <c r="O20" s="74"/>
      <c r="P20" s="74"/>
      <c r="Q20" s="74"/>
      <c r="R20" s="74"/>
      <c r="S20" s="75">
        <f t="shared" ref="S20:S30" si="1">SUM(D20*E20)+(G20*H20)+(J20*K20)+(M20*N20)+(P20*Q20)</f>
        <v>0</v>
      </c>
      <c r="T20" s="2"/>
      <c r="U20" s="76">
        <v>1.0</v>
      </c>
      <c r="V20" s="77">
        <v>2.0</v>
      </c>
      <c r="W20" s="78">
        <v>3.0</v>
      </c>
      <c r="X20" s="79">
        <v>4.0</v>
      </c>
      <c r="Y20" s="80">
        <v>5.0</v>
      </c>
      <c r="Z20" s="81">
        <v>6.0</v>
      </c>
      <c r="AA20" s="82">
        <v>7.0</v>
      </c>
      <c r="AB20" s="83">
        <v>8.0</v>
      </c>
      <c r="AC20" s="84">
        <v>9.0</v>
      </c>
      <c r="AD20" s="85">
        <v>10.0</v>
      </c>
      <c r="AE20" s="2"/>
      <c r="AF20" s="2"/>
      <c r="AG20" s="3"/>
      <c r="AH20" s="3">
        <f t="shared" ref="AH20:AH30" si="2">MAX(Q20,N20,K20,H20,E20)</f>
        <v>0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ht="51.0" customHeight="1">
      <c r="A21" s="69"/>
      <c r="B21" s="86">
        <v>2.0</v>
      </c>
      <c r="C21" s="87" t="s">
        <v>41</v>
      </c>
      <c r="D21" s="88"/>
      <c r="E21" s="88"/>
      <c r="F21" s="88"/>
      <c r="G21" s="88"/>
      <c r="H21" s="88"/>
      <c r="I21" s="88"/>
      <c r="J21" s="88"/>
      <c r="K21" s="88"/>
      <c r="L21" s="88"/>
      <c r="M21" s="89"/>
      <c r="N21" s="89"/>
      <c r="O21" s="90"/>
      <c r="P21" s="90"/>
      <c r="Q21" s="90"/>
      <c r="R21" s="90"/>
      <c r="S21" s="91">
        <f t="shared" si="1"/>
        <v>0</v>
      </c>
      <c r="T21" s="2"/>
      <c r="U21" s="92" t="s">
        <v>42</v>
      </c>
      <c r="V21" s="43"/>
      <c r="W21" s="43"/>
      <c r="X21" s="43"/>
      <c r="Y21" s="43"/>
      <c r="Z21" s="44"/>
      <c r="AA21" s="93"/>
      <c r="AB21" s="43"/>
      <c r="AC21" s="43"/>
      <c r="AD21" s="44"/>
      <c r="AE21" s="2"/>
      <c r="AF21" s="2"/>
      <c r="AG21" s="3"/>
      <c r="AH21" s="3">
        <f t="shared" si="2"/>
        <v>0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ht="49.5" customHeight="1">
      <c r="A22" s="69"/>
      <c r="B22" s="94">
        <v>3.0</v>
      </c>
      <c r="C22" s="71" t="s">
        <v>43</v>
      </c>
      <c r="D22" s="72"/>
      <c r="E22" s="72"/>
      <c r="F22" s="72"/>
      <c r="G22" s="72"/>
      <c r="H22" s="72"/>
      <c r="I22" s="72"/>
      <c r="J22" s="72"/>
      <c r="K22" s="72"/>
      <c r="L22" s="72"/>
      <c r="M22" s="73"/>
      <c r="N22" s="73"/>
      <c r="O22" s="74"/>
      <c r="P22" s="74"/>
      <c r="Q22" s="74"/>
      <c r="R22" s="74"/>
      <c r="S22" s="75">
        <f t="shared" si="1"/>
        <v>0</v>
      </c>
      <c r="T22" s="2"/>
      <c r="U22" s="53"/>
      <c r="Z22" s="54"/>
      <c r="AA22" s="53"/>
      <c r="AD22" s="54"/>
      <c r="AE22" s="2"/>
      <c r="AF22" s="2"/>
      <c r="AG22" s="3"/>
      <c r="AH22" s="3">
        <f t="shared" si="2"/>
        <v>0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</row>
    <row r="23" ht="48.75" customHeight="1">
      <c r="A23" s="69"/>
      <c r="B23" s="86">
        <v>4.0</v>
      </c>
      <c r="C23" s="87" t="s">
        <v>44</v>
      </c>
      <c r="D23" s="88"/>
      <c r="E23" s="88"/>
      <c r="F23" s="88"/>
      <c r="G23" s="88"/>
      <c r="H23" s="88"/>
      <c r="I23" s="88"/>
      <c r="J23" s="88"/>
      <c r="K23" s="88"/>
      <c r="L23" s="88"/>
      <c r="M23" s="89"/>
      <c r="N23" s="89"/>
      <c r="O23" s="90"/>
      <c r="P23" s="90"/>
      <c r="Q23" s="90"/>
      <c r="R23" s="90"/>
      <c r="S23" s="91">
        <f t="shared" si="1"/>
        <v>0</v>
      </c>
      <c r="T23" s="2"/>
      <c r="U23" s="66"/>
      <c r="V23" s="67"/>
      <c r="W23" s="67"/>
      <c r="X23" s="67"/>
      <c r="Y23" s="67"/>
      <c r="Z23" s="68"/>
      <c r="AA23" s="66"/>
      <c r="AB23" s="67"/>
      <c r="AC23" s="67"/>
      <c r="AD23" s="68"/>
      <c r="AE23" s="2"/>
      <c r="AF23" s="2"/>
      <c r="AG23" s="3"/>
      <c r="AH23" s="3">
        <f t="shared" si="2"/>
        <v>0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ht="48.75" customHeight="1">
      <c r="A24" s="69"/>
      <c r="B24" s="94">
        <v>5.0</v>
      </c>
      <c r="C24" s="71" t="s">
        <v>45</v>
      </c>
      <c r="D24" s="72"/>
      <c r="E24" s="72"/>
      <c r="F24" s="72"/>
      <c r="G24" s="72"/>
      <c r="H24" s="72"/>
      <c r="I24" s="72"/>
      <c r="J24" s="72"/>
      <c r="K24" s="72"/>
      <c r="L24" s="72"/>
      <c r="M24" s="73"/>
      <c r="N24" s="73"/>
      <c r="O24" s="74"/>
      <c r="P24" s="74"/>
      <c r="Q24" s="74"/>
      <c r="R24" s="74"/>
      <c r="S24" s="75">
        <f t="shared" si="1"/>
        <v>0</v>
      </c>
      <c r="T24" s="2"/>
      <c r="U24" s="95">
        <v>1.0</v>
      </c>
      <c r="V24" s="96">
        <v>2.0</v>
      </c>
      <c r="W24" s="97">
        <v>3.0</v>
      </c>
      <c r="X24" s="98">
        <v>4.0</v>
      </c>
      <c r="Y24" s="81">
        <v>5.0</v>
      </c>
      <c r="Z24" s="80">
        <v>6.0</v>
      </c>
      <c r="AA24" s="79">
        <v>7.0</v>
      </c>
      <c r="AB24" s="78">
        <v>8.0</v>
      </c>
      <c r="AC24" s="77">
        <v>9.0</v>
      </c>
      <c r="AD24" s="99">
        <v>10.0</v>
      </c>
      <c r="AE24" s="2"/>
      <c r="AF24" s="2"/>
      <c r="AG24" s="3"/>
      <c r="AH24" s="3">
        <f t="shared" si="2"/>
        <v>0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ht="48.75" customHeight="1">
      <c r="A25" s="69"/>
      <c r="B25" s="86">
        <v>6.0</v>
      </c>
      <c r="C25" s="87" t="s">
        <v>46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100"/>
      <c r="P25" s="90"/>
      <c r="Q25" s="90"/>
      <c r="R25" s="90"/>
      <c r="S25" s="91">
        <f t="shared" si="1"/>
        <v>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  <c r="AH25" s="3">
        <f t="shared" si="2"/>
        <v>0</v>
      </c>
      <c r="AI25" s="3"/>
      <c r="AJ25" s="3"/>
      <c r="AK25" s="3" t="s">
        <v>3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ht="48.75" customHeight="1">
      <c r="A26" s="69"/>
      <c r="B26" s="94">
        <v>7.0</v>
      </c>
      <c r="C26" s="71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101"/>
      <c r="P26" s="74"/>
      <c r="Q26" s="74"/>
      <c r="R26" s="74"/>
      <c r="S26" s="75">
        <f t="shared" si="1"/>
        <v>0</v>
      </c>
      <c r="T26" s="2"/>
      <c r="U26" s="102" t="s">
        <v>47</v>
      </c>
      <c r="V26" s="35"/>
      <c r="W26" s="35"/>
      <c r="X26" s="35"/>
      <c r="Y26" s="35"/>
      <c r="Z26" s="35"/>
      <c r="AA26" s="35"/>
      <c r="AB26" s="35"/>
      <c r="AC26" s="35"/>
      <c r="AD26" s="33"/>
      <c r="AE26" s="2"/>
      <c r="AF26" s="2"/>
      <c r="AG26" s="3"/>
      <c r="AH26" s="3">
        <f t="shared" si="2"/>
        <v>0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ht="48.75" customHeight="1">
      <c r="A27" s="69"/>
      <c r="B27" s="86">
        <v>8.0</v>
      </c>
      <c r="C27" s="87"/>
      <c r="D27" s="88"/>
      <c r="E27" s="88"/>
      <c r="F27" s="88"/>
      <c r="G27" s="88"/>
      <c r="H27" s="88"/>
      <c r="I27" s="88"/>
      <c r="J27" s="88"/>
      <c r="K27" s="88"/>
      <c r="L27" s="89"/>
      <c r="M27" s="89"/>
      <c r="N27" s="89"/>
      <c r="O27" s="90"/>
      <c r="P27" s="90"/>
      <c r="Q27" s="90"/>
      <c r="R27" s="90"/>
      <c r="S27" s="91">
        <f t="shared" si="1"/>
        <v>0</v>
      </c>
      <c r="T27" s="2"/>
      <c r="U27" s="103"/>
      <c r="V27" s="8"/>
      <c r="W27" s="8"/>
      <c r="X27" s="8"/>
      <c r="Y27" s="8"/>
      <c r="Z27" s="8"/>
      <c r="AA27" s="8"/>
      <c r="AB27" s="8"/>
      <c r="AC27" s="8"/>
      <c r="AD27" s="6"/>
      <c r="AE27" s="2"/>
      <c r="AF27" s="2"/>
      <c r="AG27" s="3"/>
      <c r="AH27" s="3">
        <f t="shared" si="2"/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ht="48.75" customHeight="1">
      <c r="A28" s="69"/>
      <c r="B28" s="94">
        <v>9.0</v>
      </c>
      <c r="C28" s="104"/>
      <c r="D28" s="101"/>
      <c r="E28" s="101"/>
      <c r="F28" s="101"/>
      <c r="G28" s="101"/>
      <c r="H28" s="101"/>
      <c r="I28" s="101"/>
      <c r="J28" s="101"/>
      <c r="K28" s="101"/>
      <c r="L28" s="101"/>
      <c r="M28" s="74"/>
      <c r="N28" s="74"/>
      <c r="O28" s="74"/>
      <c r="P28" s="74"/>
      <c r="Q28" s="74"/>
      <c r="R28" s="74"/>
      <c r="S28" s="75">
        <f t="shared" si="1"/>
        <v>0</v>
      </c>
      <c r="T28" s="2"/>
      <c r="U28" s="105"/>
      <c r="AD28" s="106"/>
      <c r="AE28" s="2"/>
      <c r="AF28" s="2"/>
      <c r="AG28" s="3"/>
      <c r="AH28" s="3">
        <f t="shared" si="2"/>
        <v>0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ht="48.75" customHeight="1">
      <c r="A29" s="69"/>
      <c r="B29" s="86">
        <v>10.0</v>
      </c>
      <c r="C29" s="107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1">
        <f t="shared" si="1"/>
        <v>0</v>
      </c>
      <c r="T29" s="2"/>
      <c r="U29" s="105"/>
      <c r="AD29" s="106"/>
      <c r="AE29" s="2"/>
      <c r="AF29" s="2"/>
      <c r="AG29" s="3"/>
      <c r="AH29" s="3">
        <f t="shared" si="2"/>
        <v>0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ht="48.75" customHeight="1">
      <c r="A30" s="9"/>
      <c r="B30" s="108">
        <v>11.0</v>
      </c>
      <c r="C30" s="109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5">
        <f t="shared" si="1"/>
        <v>0</v>
      </c>
      <c r="T30" s="2"/>
      <c r="U30" s="10"/>
      <c r="V30" s="12"/>
      <c r="W30" s="12"/>
      <c r="X30" s="12"/>
      <c r="Y30" s="12"/>
      <c r="Z30" s="12"/>
      <c r="AA30" s="12"/>
      <c r="AB30" s="12"/>
      <c r="AC30" s="12"/>
      <c r="AD30" s="11"/>
      <c r="AE30" s="2"/>
      <c r="AF30" s="2"/>
      <c r="AG30" s="3"/>
      <c r="AH30" s="3">
        <f t="shared" si="2"/>
        <v>0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ht="45.0" customHeight="1">
      <c r="A31" s="2"/>
      <c r="B31" s="110"/>
      <c r="C31" s="111"/>
      <c r="D31" s="112"/>
      <c r="E31" s="112"/>
      <c r="F31" s="112"/>
      <c r="G31" s="112"/>
      <c r="H31" s="3" t="s">
        <v>3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ht="54.75" customHeight="1">
      <c r="A32" s="2"/>
      <c r="B32" s="32" t="s">
        <v>19</v>
      </c>
      <c r="C32" s="33"/>
      <c r="D32" s="34" t="s">
        <v>48</v>
      </c>
      <c r="E32" s="35"/>
      <c r="F32" s="35"/>
      <c r="G32" s="35"/>
      <c r="H32" s="35"/>
      <c r="I32" s="35"/>
      <c r="J32" s="35"/>
      <c r="K32" s="33"/>
      <c r="L32" s="36" t="s">
        <v>21</v>
      </c>
      <c r="M32" s="37"/>
      <c r="N32" s="38"/>
      <c r="O32" s="39" t="s">
        <v>22</v>
      </c>
      <c r="P32" s="40"/>
      <c r="Q32" s="17"/>
      <c r="R32" s="41"/>
      <c r="S32" s="2"/>
      <c r="T32" s="2"/>
      <c r="U32" s="42" t="s">
        <v>23</v>
      </c>
      <c r="V32" s="43"/>
      <c r="W32" s="43"/>
      <c r="X32" s="43"/>
      <c r="Y32" s="43"/>
      <c r="Z32" s="44"/>
      <c r="AA32" s="45"/>
      <c r="AB32" s="43"/>
      <c r="AC32" s="43"/>
      <c r="AD32" s="44"/>
      <c r="AE32" s="2"/>
      <c r="AF32" s="2"/>
      <c r="AG32" s="3" t="str">
        <f>AA32</f>
        <v/>
      </c>
      <c r="AH32" s="3" t="s">
        <v>24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ht="48.0" customHeight="1">
      <c r="A33" s="2"/>
      <c r="B33" s="46" t="s">
        <v>25</v>
      </c>
      <c r="C33" s="47"/>
      <c r="D33" s="48" t="s">
        <v>26</v>
      </c>
      <c r="E33" s="49"/>
      <c r="F33" s="50"/>
      <c r="G33" s="51" t="s">
        <v>27</v>
      </c>
      <c r="H33" s="49"/>
      <c r="I33" s="49"/>
      <c r="J33" s="48" t="s">
        <v>28</v>
      </c>
      <c r="K33" s="49"/>
      <c r="L33" s="50"/>
      <c r="M33" s="51" t="s">
        <v>29</v>
      </c>
      <c r="N33" s="49"/>
      <c r="O33" s="49"/>
      <c r="P33" s="52" t="s">
        <v>30</v>
      </c>
      <c r="Q33" s="12"/>
      <c r="R33" s="11"/>
      <c r="S33" s="2"/>
      <c r="T33" s="2"/>
      <c r="U33" s="53"/>
      <c r="Z33" s="54"/>
      <c r="AA33" s="53"/>
      <c r="AD33" s="54"/>
      <c r="AE33" s="2"/>
      <c r="AF33" s="2"/>
      <c r="AG33" s="3" t="str">
        <f>AA36</f>
        <v/>
      </c>
      <c r="AH33" s="3" t="s">
        <v>31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ht="48.0" customHeight="1">
      <c r="A34" s="55" t="s">
        <v>49</v>
      </c>
      <c r="B34" s="56" t="s">
        <v>33</v>
      </c>
      <c r="C34" s="57" t="s">
        <v>34</v>
      </c>
      <c r="D34" s="61" t="s">
        <v>35</v>
      </c>
      <c r="E34" s="59" t="s">
        <v>36</v>
      </c>
      <c r="F34" s="60" t="s">
        <v>37</v>
      </c>
      <c r="G34" s="61" t="s">
        <v>35</v>
      </c>
      <c r="H34" s="62" t="s">
        <v>36</v>
      </c>
      <c r="I34" s="62" t="s">
        <v>37</v>
      </c>
      <c r="J34" s="63" t="s">
        <v>35</v>
      </c>
      <c r="K34" s="62" t="s">
        <v>36</v>
      </c>
      <c r="L34" s="113" t="s">
        <v>37</v>
      </c>
      <c r="M34" s="61" t="s">
        <v>35</v>
      </c>
      <c r="N34" s="62" t="s">
        <v>36</v>
      </c>
      <c r="O34" s="62" t="s">
        <v>37</v>
      </c>
      <c r="P34" s="63" t="s">
        <v>35</v>
      </c>
      <c r="Q34" s="62" t="s">
        <v>36</v>
      </c>
      <c r="R34" s="64" t="s">
        <v>37</v>
      </c>
      <c r="S34" s="65" t="s">
        <v>38</v>
      </c>
      <c r="T34" s="2"/>
      <c r="U34" s="66"/>
      <c r="V34" s="67"/>
      <c r="W34" s="67"/>
      <c r="X34" s="67"/>
      <c r="Y34" s="67"/>
      <c r="Z34" s="68"/>
      <c r="AA34" s="66"/>
      <c r="AB34" s="67"/>
      <c r="AC34" s="67"/>
      <c r="AD34" s="68"/>
      <c r="AE34" s="2"/>
      <c r="AF34" s="2"/>
      <c r="AG34" s="3"/>
      <c r="AH34" s="3" t="s">
        <v>39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ht="48.0" customHeight="1">
      <c r="A35" s="69"/>
      <c r="B35" s="70">
        <v>1.0</v>
      </c>
      <c r="C35" s="71" t="s">
        <v>50</v>
      </c>
      <c r="D35" s="101">
        <v>8.0</v>
      </c>
      <c r="E35" s="101">
        <v>100.0</v>
      </c>
      <c r="F35" s="101">
        <v>1.0</v>
      </c>
      <c r="G35" s="101">
        <v>9.0</v>
      </c>
      <c r="H35" s="101">
        <v>90.0</v>
      </c>
      <c r="I35" s="101">
        <v>1.0</v>
      </c>
      <c r="J35" s="101">
        <v>7.0</v>
      </c>
      <c r="K35" s="101">
        <v>90.0</v>
      </c>
      <c r="L35" s="101">
        <v>1.0</v>
      </c>
      <c r="M35" s="74"/>
      <c r="N35" s="74"/>
      <c r="O35" s="74"/>
      <c r="P35" s="74"/>
      <c r="Q35" s="74"/>
      <c r="R35" s="74"/>
      <c r="S35" s="75">
        <v>0.0</v>
      </c>
      <c r="T35" s="2"/>
      <c r="U35" s="76">
        <v>1.0</v>
      </c>
      <c r="V35" s="77">
        <v>2.0</v>
      </c>
      <c r="W35" s="78">
        <v>3.0</v>
      </c>
      <c r="X35" s="79">
        <v>4.0</v>
      </c>
      <c r="Y35" s="80">
        <v>5.0</v>
      </c>
      <c r="Z35" s="81">
        <v>6.0</v>
      </c>
      <c r="AA35" s="82">
        <v>7.0</v>
      </c>
      <c r="AB35" s="83">
        <v>8.0</v>
      </c>
      <c r="AC35" s="84">
        <v>9.0</v>
      </c>
      <c r="AD35" s="85">
        <v>10.0</v>
      </c>
      <c r="AE35" s="2"/>
      <c r="AF35" s="2"/>
      <c r="AG35" s="3"/>
      <c r="AH35" s="3">
        <f t="shared" ref="AH35:AH45" si="3">MAX(Q35,N35,K35,H35,E35)</f>
        <v>100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ht="48.0" customHeight="1">
      <c r="A36" s="69"/>
      <c r="B36" s="86">
        <v>2.0</v>
      </c>
      <c r="C36" s="87" t="s">
        <v>51</v>
      </c>
      <c r="D36" s="100"/>
      <c r="E36" s="100"/>
      <c r="F36" s="100"/>
      <c r="G36" s="100"/>
      <c r="H36" s="100"/>
      <c r="I36" s="100"/>
      <c r="J36" s="100"/>
      <c r="K36" s="100"/>
      <c r="L36" s="100"/>
      <c r="M36" s="90"/>
      <c r="N36" s="90"/>
      <c r="O36" s="90"/>
      <c r="P36" s="90"/>
      <c r="Q36" s="90"/>
      <c r="R36" s="90"/>
      <c r="S36" s="91">
        <f>SUM(D36*E36)+(G36*H36)+(J36*K36)+(M36*N36)+(P36*Q36)</f>
        <v>0</v>
      </c>
      <c r="T36" s="2"/>
      <c r="U36" s="92" t="s">
        <v>42</v>
      </c>
      <c r="V36" s="43"/>
      <c r="W36" s="43"/>
      <c r="X36" s="43"/>
      <c r="Y36" s="43"/>
      <c r="Z36" s="44"/>
      <c r="AA36" s="93"/>
      <c r="AB36" s="43"/>
      <c r="AC36" s="43"/>
      <c r="AD36" s="44"/>
      <c r="AE36" s="2"/>
      <c r="AF36" s="2"/>
      <c r="AG36" s="3"/>
      <c r="AH36" s="3">
        <f t="shared" si="3"/>
        <v>0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ht="48.0" customHeight="1">
      <c r="A37" s="69"/>
      <c r="B37" s="94">
        <v>3.0</v>
      </c>
      <c r="C37" s="71" t="s">
        <v>52</v>
      </c>
      <c r="D37" s="101">
        <v>12.0</v>
      </c>
      <c r="E37" s="101">
        <v>100.0</v>
      </c>
      <c r="F37" s="101">
        <v>1.0</v>
      </c>
      <c r="G37" s="101">
        <v>12.0</v>
      </c>
      <c r="H37" s="101">
        <v>95.0</v>
      </c>
      <c r="I37" s="101">
        <v>1.0</v>
      </c>
      <c r="J37" s="101"/>
      <c r="K37" s="101"/>
      <c r="L37" s="101"/>
      <c r="M37" s="74"/>
      <c r="N37" s="74"/>
      <c r="O37" s="74"/>
      <c r="P37" s="74"/>
      <c r="Q37" s="74"/>
      <c r="R37" s="74"/>
      <c r="S37" s="75">
        <v>0.0</v>
      </c>
      <c r="T37" s="2"/>
      <c r="U37" s="53"/>
      <c r="Z37" s="54"/>
      <c r="AA37" s="53"/>
      <c r="AD37" s="54"/>
      <c r="AE37" s="2"/>
      <c r="AF37" s="2"/>
      <c r="AG37" s="3"/>
      <c r="AH37" s="3">
        <f t="shared" si="3"/>
        <v>100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</row>
    <row r="38" ht="48.0" customHeight="1">
      <c r="A38" s="69"/>
      <c r="B38" s="86">
        <v>4.0</v>
      </c>
      <c r="C38" s="87" t="s">
        <v>53</v>
      </c>
      <c r="D38" s="100"/>
      <c r="E38" s="100"/>
      <c r="F38" s="88"/>
      <c r="G38" s="100"/>
      <c r="H38" s="100"/>
      <c r="I38" s="100"/>
      <c r="J38" s="100"/>
      <c r="K38" s="100"/>
      <c r="L38" s="100"/>
      <c r="M38" s="100"/>
      <c r="N38" s="100"/>
      <c r="O38" s="100"/>
      <c r="P38" s="90"/>
      <c r="Q38" s="90"/>
      <c r="R38" s="90"/>
      <c r="S38" s="91">
        <f>SUM(D38*E38)+(G38*H38)+(J38*K38)+(M38*N38)+(P38*Q38)</f>
        <v>0</v>
      </c>
      <c r="T38" s="2"/>
      <c r="U38" s="66"/>
      <c r="V38" s="67"/>
      <c r="W38" s="67"/>
      <c r="X38" s="67"/>
      <c r="Y38" s="67"/>
      <c r="Z38" s="68"/>
      <c r="AA38" s="66"/>
      <c r="AB38" s="67"/>
      <c r="AC38" s="67"/>
      <c r="AD38" s="68"/>
      <c r="AE38" s="2"/>
      <c r="AF38" s="2"/>
      <c r="AG38" s="3"/>
      <c r="AH38" s="3">
        <f t="shared" si="3"/>
        <v>0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</row>
    <row r="39" ht="48.0" customHeight="1">
      <c r="A39" s="69"/>
      <c r="B39" s="94">
        <v>5.0</v>
      </c>
      <c r="C39" s="71" t="s">
        <v>54</v>
      </c>
      <c r="D39" s="101"/>
      <c r="E39" s="101"/>
      <c r="F39" s="101"/>
      <c r="G39" s="101"/>
      <c r="H39" s="101"/>
      <c r="I39" s="101"/>
      <c r="J39" s="101"/>
      <c r="K39" s="101"/>
      <c r="L39" s="101"/>
      <c r="M39" s="74"/>
      <c r="N39" s="74"/>
      <c r="O39" s="74"/>
      <c r="P39" s="74"/>
      <c r="Q39" s="74"/>
      <c r="R39" s="74"/>
      <c r="S39" s="75">
        <v>0.0</v>
      </c>
      <c r="T39" s="2"/>
      <c r="U39" s="95">
        <v>1.0</v>
      </c>
      <c r="V39" s="96">
        <v>2.0</v>
      </c>
      <c r="W39" s="97">
        <v>3.0</v>
      </c>
      <c r="X39" s="98">
        <v>4.0</v>
      </c>
      <c r="Y39" s="81">
        <v>5.0</v>
      </c>
      <c r="Z39" s="80">
        <v>6.0</v>
      </c>
      <c r="AA39" s="79">
        <v>7.0</v>
      </c>
      <c r="AB39" s="78">
        <v>8.0</v>
      </c>
      <c r="AC39" s="77">
        <v>9.0</v>
      </c>
      <c r="AD39" s="99">
        <v>10.0</v>
      </c>
      <c r="AE39" s="2"/>
      <c r="AF39" s="2"/>
      <c r="AG39" s="3"/>
      <c r="AH39" s="3">
        <f t="shared" si="3"/>
        <v>0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</row>
    <row r="40" ht="48.0" customHeight="1">
      <c r="A40" s="69"/>
      <c r="B40" s="86">
        <v>6.0</v>
      </c>
      <c r="C40" s="87" t="s">
        <v>55</v>
      </c>
      <c r="D40" s="100"/>
      <c r="E40" s="100"/>
      <c r="F40" s="100"/>
      <c r="G40" s="100"/>
      <c r="H40" s="100"/>
      <c r="I40" s="100"/>
      <c r="J40" s="100"/>
      <c r="K40" s="100"/>
      <c r="L40" s="100"/>
      <c r="M40" s="90"/>
      <c r="N40" s="90"/>
      <c r="O40" s="90"/>
      <c r="P40" s="90"/>
      <c r="Q40" s="90"/>
      <c r="R40" s="90"/>
      <c r="S40" s="91">
        <f t="shared" ref="S40:S45" si="4">SUM(D40*E40)+(G40*H40)+(J40*K40)+(M40*N40)+(P40*Q40)</f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3"/>
      <c r="AH40" s="3">
        <f t="shared" si="3"/>
        <v>0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</row>
    <row r="41" ht="48.0" customHeight="1">
      <c r="A41" s="69"/>
      <c r="B41" s="94">
        <v>7.0</v>
      </c>
      <c r="C41" s="71" t="s">
        <v>56</v>
      </c>
      <c r="D41" s="101"/>
      <c r="E41" s="101"/>
      <c r="F41" s="101"/>
      <c r="G41" s="101"/>
      <c r="H41" s="101"/>
      <c r="I41" s="101"/>
      <c r="J41" s="74"/>
      <c r="K41" s="74"/>
      <c r="L41" s="74"/>
      <c r="M41" s="74"/>
      <c r="N41" s="74"/>
      <c r="O41" s="74"/>
      <c r="P41" s="74"/>
      <c r="Q41" s="74"/>
      <c r="R41" s="74"/>
      <c r="S41" s="75">
        <f t="shared" si="4"/>
        <v>0</v>
      </c>
      <c r="T41" s="2"/>
      <c r="U41" s="102" t="s">
        <v>47</v>
      </c>
      <c r="V41" s="35"/>
      <c r="W41" s="35"/>
      <c r="X41" s="35"/>
      <c r="Y41" s="35"/>
      <c r="Z41" s="35"/>
      <c r="AA41" s="35"/>
      <c r="AB41" s="35"/>
      <c r="AC41" s="35"/>
      <c r="AD41" s="33"/>
      <c r="AE41" s="2"/>
      <c r="AF41" s="2"/>
      <c r="AG41" s="3"/>
      <c r="AH41" s="3">
        <f t="shared" si="3"/>
        <v>0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ht="48.0" customHeight="1">
      <c r="A42" s="69"/>
      <c r="B42" s="86">
        <v>8.0</v>
      </c>
      <c r="C42" s="87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1">
        <f t="shared" si="4"/>
        <v>0</v>
      </c>
      <c r="T42" s="2"/>
      <c r="U42" s="114"/>
      <c r="V42" s="8"/>
      <c r="W42" s="8"/>
      <c r="X42" s="8"/>
      <c r="Y42" s="8"/>
      <c r="Z42" s="8"/>
      <c r="AA42" s="8"/>
      <c r="AB42" s="8"/>
      <c r="AC42" s="8"/>
      <c r="AD42" s="6"/>
      <c r="AE42" s="2"/>
      <c r="AF42" s="2"/>
      <c r="AG42" s="3"/>
      <c r="AH42" s="3">
        <f t="shared" si="3"/>
        <v>0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ht="48.0" customHeight="1">
      <c r="A43" s="69"/>
      <c r="B43" s="94">
        <v>9.0</v>
      </c>
      <c r="C43" s="10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5">
        <f t="shared" si="4"/>
        <v>0</v>
      </c>
      <c r="T43" s="2"/>
      <c r="U43" s="105"/>
      <c r="AD43" s="106"/>
      <c r="AE43" s="2"/>
      <c r="AF43" s="2"/>
      <c r="AG43" s="3"/>
      <c r="AH43" s="3">
        <f t="shared" si="3"/>
        <v>0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ht="48.0" customHeight="1">
      <c r="A44" s="69"/>
      <c r="B44" s="86">
        <v>10.0</v>
      </c>
      <c r="C44" s="107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1">
        <f t="shared" si="4"/>
        <v>0</v>
      </c>
      <c r="T44" s="2"/>
      <c r="U44" s="105"/>
      <c r="AD44" s="106"/>
      <c r="AE44" s="2"/>
      <c r="AF44" s="2"/>
      <c r="AG44" s="3"/>
      <c r="AH44" s="3">
        <f t="shared" si="3"/>
        <v>0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  <row r="45" ht="48.0" customHeight="1">
      <c r="A45" s="9"/>
      <c r="B45" s="108">
        <v>11.0</v>
      </c>
      <c r="C45" s="109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5">
        <f t="shared" si="4"/>
        <v>0</v>
      </c>
      <c r="T45" s="2"/>
      <c r="U45" s="10"/>
      <c r="V45" s="12"/>
      <c r="W45" s="12"/>
      <c r="X45" s="12"/>
      <c r="Y45" s="12"/>
      <c r="Z45" s="12"/>
      <c r="AA45" s="12"/>
      <c r="AB45" s="12"/>
      <c r="AC45" s="12"/>
      <c r="AD45" s="11"/>
      <c r="AE45" s="2"/>
      <c r="AF45" s="2"/>
      <c r="AG45" s="3"/>
      <c r="AH45" s="3">
        <f t="shared" si="3"/>
        <v>0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</row>
    <row r="46" ht="45.0" customHeight="1">
      <c r="A46" s="2"/>
      <c r="B46" s="2"/>
      <c r="C46" s="2"/>
      <c r="D46" s="2"/>
      <c r="E46" s="2"/>
      <c r="F46" s="2"/>
      <c r="G46" s="2"/>
      <c r="H46" s="2"/>
      <c r="I46" s="2"/>
      <c r="J46" s="3" t="s">
        <v>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 t="s">
        <v>3</v>
      </c>
      <c r="AC46" s="2"/>
      <c r="AD46" s="2"/>
      <c r="AE46" s="2"/>
      <c r="AF46" s="2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</row>
    <row r="47" ht="54.75" customHeight="1">
      <c r="A47" s="2"/>
      <c r="B47" s="32" t="s">
        <v>19</v>
      </c>
      <c r="C47" s="33"/>
      <c r="D47" s="34" t="s">
        <v>57</v>
      </c>
      <c r="E47" s="35"/>
      <c r="F47" s="35"/>
      <c r="G47" s="35"/>
      <c r="H47" s="35"/>
      <c r="I47" s="35"/>
      <c r="J47" s="35"/>
      <c r="K47" s="33"/>
      <c r="L47" s="36" t="s">
        <v>21</v>
      </c>
      <c r="M47" s="37"/>
      <c r="N47" s="38"/>
      <c r="O47" s="39" t="s">
        <v>22</v>
      </c>
      <c r="P47" s="40"/>
      <c r="Q47" s="17"/>
      <c r="R47" s="41"/>
      <c r="S47" s="2"/>
      <c r="T47" s="2"/>
      <c r="U47" s="42" t="s">
        <v>23</v>
      </c>
      <c r="V47" s="43"/>
      <c r="W47" s="43"/>
      <c r="X47" s="43"/>
      <c r="Y47" s="43"/>
      <c r="Z47" s="44"/>
      <c r="AA47" s="45"/>
      <c r="AB47" s="43"/>
      <c r="AC47" s="43"/>
      <c r="AD47" s="44"/>
      <c r="AE47" s="2"/>
      <c r="AF47" s="2"/>
      <c r="AG47" s="3" t="str">
        <f>AA47</f>
        <v/>
      </c>
      <c r="AH47" s="3" t="s">
        <v>24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</row>
    <row r="48" ht="48.0" customHeight="1">
      <c r="A48" s="2"/>
      <c r="B48" s="46" t="s">
        <v>25</v>
      </c>
      <c r="C48" s="47"/>
      <c r="D48" s="48" t="s">
        <v>26</v>
      </c>
      <c r="E48" s="49"/>
      <c r="F48" s="50"/>
      <c r="G48" s="51" t="s">
        <v>27</v>
      </c>
      <c r="H48" s="49"/>
      <c r="I48" s="49"/>
      <c r="J48" s="48" t="s">
        <v>28</v>
      </c>
      <c r="K48" s="49"/>
      <c r="L48" s="50"/>
      <c r="M48" s="51" t="s">
        <v>29</v>
      </c>
      <c r="N48" s="49"/>
      <c r="O48" s="49"/>
      <c r="P48" s="52" t="s">
        <v>30</v>
      </c>
      <c r="Q48" s="12"/>
      <c r="R48" s="11"/>
      <c r="S48" s="2"/>
      <c r="T48" s="2"/>
      <c r="U48" s="53"/>
      <c r="Z48" s="54"/>
      <c r="AA48" s="53"/>
      <c r="AD48" s="54"/>
      <c r="AE48" s="2"/>
      <c r="AF48" s="2"/>
      <c r="AG48" s="3" t="str">
        <f>AA51</f>
        <v/>
      </c>
      <c r="AH48" s="3" t="s">
        <v>31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</row>
    <row r="49" ht="48.0" customHeight="1">
      <c r="A49" s="55" t="s">
        <v>58</v>
      </c>
      <c r="B49" s="56" t="s">
        <v>33</v>
      </c>
      <c r="C49" s="57" t="s">
        <v>34</v>
      </c>
      <c r="D49" s="61" t="s">
        <v>35</v>
      </c>
      <c r="E49" s="59" t="s">
        <v>36</v>
      </c>
      <c r="F49" s="60" t="s">
        <v>37</v>
      </c>
      <c r="G49" s="61" t="s">
        <v>35</v>
      </c>
      <c r="H49" s="62" t="s">
        <v>36</v>
      </c>
      <c r="I49" s="62" t="s">
        <v>37</v>
      </c>
      <c r="J49" s="63" t="s">
        <v>35</v>
      </c>
      <c r="K49" s="62" t="s">
        <v>36</v>
      </c>
      <c r="L49" s="60" t="s">
        <v>37</v>
      </c>
      <c r="M49" s="61" t="s">
        <v>35</v>
      </c>
      <c r="N49" s="62" t="s">
        <v>36</v>
      </c>
      <c r="O49" s="62" t="s">
        <v>37</v>
      </c>
      <c r="P49" s="63" t="s">
        <v>35</v>
      </c>
      <c r="Q49" s="62" t="s">
        <v>36</v>
      </c>
      <c r="R49" s="64" t="s">
        <v>37</v>
      </c>
      <c r="S49" s="65" t="s">
        <v>38</v>
      </c>
      <c r="T49" s="2"/>
      <c r="U49" s="66"/>
      <c r="V49" s="67"/>
      <c r="W49" s="67"/>
      <c r="X49" s="67"/>
      <c r="Y49" s="67"/>
      <c r="Z49" s="68"/>
      <c r="AA49" s="66"/>
      <c r="AB49" s="67"/>
      <c r="AC49" s="67"/>
      <c r="AD49" s="68"/>
      <c r="AE49" s="2"/>
      <c r="AF49" s="2"/>
      <c r="AG49" s="3"/>
      <c r="AH49" s="3" t="s">
        <v>39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</row>
    <row r="50" ht="48.0" customHeight="1">
      <c r="A50" s="69"/>
      <c r="B50" s="70">
        <v>1.0</v>
      </c>
      <c r="C50" s="115" t="s">
        <v>59</v>
      </c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5">
        <f t="shared" ref="S50:S60" si="5">SUM(D50*E50)+(G50*H50)+(J50*K50)+(M50*N50)+(P50*Q50)</f>
        <v>0</v>
      </c>
      <c r="T50" s="2"/>
      <c r="U50" s="76">
        <v>1.0</v>
      </c>
      <c r="V50" s="77">
        <v>2.0</v>
      </c>
      <c r="W50" s="78">
        <v>3.0</v>
      </c>
      <c r="X50" s="79">
        <v>4.0</v>
      </c>
      <c r="Y50" s="80">
        <v>5.0</v>
      </c>
      <c r="Z50" s="81">
        <v>6.0</v>
      </c>
      <c r="AA50" s="82">
        <v>7.0</v>
      </c>
      <c r="AB50" s="83">
        <v>8.0</v>
      </c>
      <c r="AC50" s="84">
        <v>9.0</v>
      </c>
      <c r="AD50" s="85">
        <v>10.0</v>
      </c>
      <c r="AE50" s="2"/>
      <c r="AF50" s="2"/>
      <c r="AG50" s="3"/>
      <c r="AH50" s="3">
        <f t="shared" ref="AH50:AH60" si="6">MAX(Q50,N50,K50,H50,E50)</f>
        <v>0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</row>
    <row r="51" ht="48.0" customHeight="1">
      <c r="A51" s="69"/>
      <c r="B51" s="86">
        <v>2.0</v>
      </c>
      <c r="C51" s="87" t="s">
        <v>60</v>
      </c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1">
        <f t="shared" si="5"/>
        <v>0</v>
      </c>
      <c r="T51" s="2"/>
      <c r="U51" s="92" t="s">
        <v>42</v>
      </c>
      <c r="V51" s="43"/>
      <c r="W51" s="43"/>
      <c r="X51" s="43"/>
      <c r="Y51" s="43"/>
      <c r="Z51" s="44"/>
      <c r="AA51" s="93"/>
      <c r="AB51" s="43"/>
      <c r="AC51" s="43"/>
      <c r="AD51" s="44"/>
      <c r="AE51" s="2"/>
      <c r="AF51" s="2"/>
      <c r="AG51" s="3"/>
      <c r="AH51" s="3">
        <f t="shared" si="6"/>
        <v>0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</row>
    <row r="52" ht="48.0" customHeight="1">
      <c r="A52" s="69"/>
      <c r="B52" s="94">
        <v>3.0</v>
      </c>
      <c r="C52" s="115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5">
        <f t="shared" si="5"/>
        <v>0</v>
      </c>
      <c r="T52" s="2"/>
      <c r="U52" s="53"/>
      <c r="Z52" s="54"/>
      <c r="AA52" s="53"/>
      <c r="AD52" s="54"/>
      <c r="AE52" s="2"/>
      <c r="AF52" s="2"/>
      <c r="AG52" s="3"/>
      <c r="AH52" s="3">
        <f t="shared" si="6"/>
        <v>0</v>
      </c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</row>
    <row r="53" ht="48.0" customHeight="1">
      <c r="A53" s="69"/>
      <c r="B53" s="86">
        <v>4.0</v>
      </c>
      <c r="C53" s="116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1">
        <f t="shared" si="5"/>
        <v>0</v>
      </c>
      <c r="T53" s="2"/>
      <c r="U53" s="66"/>
      <c r="V53" s="67"/>
      <c r="W53" s="67"/>
      <c r="X53" s="67"/>
      <c r="Y53" s="67"/>
      <c r="Z53" s="68"/>
      <c r="AA53" s="66"/>
      <c r="AB53" s="67"/>
      <c r="AC53" s="67"/>
      <c r="AD53" s="68"/>
      <c r="AE53" s="2"/>
      <c r="AF53" s="2"/>
      <c r="AG53" s="3"/>
      <c r="AH53" s="3">
        <f t="shared" si="6"/>
        <v>0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</row>
    <row r="54" ht="48.0" customHeight="1">
      <c r="A54" s="69"/>
      <c r="B54" s="94">
        <v>5.0</v>
      </c>
      <c r="C54" s="115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5">
        <f t="shared" si="5"/>
        <v>0</v>
      </c>
      <c r="T54" s="2"/>
      <c r="U54" s="95">
        <v>1.0</v>
      </c>
      <c r="V54" s="96">
        <v>2.0</v>
      </c>
      <c r="W54" s="97">
        <v>3.0</v>
      </c>
      <c r="X54" s="98">
        <v>4.0</v>
      </c>
      <c r="Y54" s="81">
        <v>5.0</v>
      </c>
      <c r="Z54" s="80">
        <v>6.0</v>
      </c>
      <c r="AA54" s="79">
        <v>7.0</v>
      </c>
      <c r="AB54" s="78">
        <v>8.0</v>
      </c>
      <c r="AC54" s="77">
        <v>9.0</v>
      </c>
      <c r="AD54" s="99">
        <v>10.0</v>
      </c>
      <c r="AE54" s="2"/>
      <c r="AF54" s="2"/>
      <c r="AG54" s="3"/>
      <c r="AH54" s="3">
        <f t="shared" si="6"/>
        <v>0</v>
      </c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ht="48.0" customHeight="1">
      <c r="A55" s="69"/>
      <c r="B55" s="86">
        <v>6.0</v>
      </c>
      <c r="C55" s="116"/>
      <c r="D55" s="11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1">
        <f t="shared" si="5"/>
        <v>0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3"/>
      <c r="AH55" s="3">
        <f t="shared" si="6"/>
        <v>0</v>
      </c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ht="48.0" customHeight="1">
      <c r="A56" s="69"/>
      <c r="B56" s="94">
        <v>7.0</v>
      </c>
      <c r="C56" s="115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5">
        <f t="shared" si="5"/>
        <v>0</v>
      </c>
      <c r="T56" s="2"/>
      <c r="U56" s="102" t="s">
        <v>47</v>
      </c>
      <c r="V56" s="35"/>
      <c r="W56" s="35"/>
      <c r="X56" s="35"/>
      <c r="Y56" s="35"/>
      <c r="Z56" s="35"/>
      <c r="AA56" s="35"/>
      <c r="AB56" s="35"/>
      <c r="AC56" s="35"/>
      <c r="AD56" s="33"/>
      <c r="AE56" s="2"/>
      <c r="AF56" s="2"/>
      <c r="AG56" s="3"/>
      <c r="AH56" s="3">
        <f t="shared" si="6"/>
        <v>0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ht="48.0" customHeight="1">
      <c r="A57" s="69"/>
      <c r="B57" s="86">
        <v>8.0</v>
      </c>
      <c r="C57" s="107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1">
        <f t="shared" si="5"/>
        <v>0</v>
      </c>
      <c r="T57" s="2"/>
      <c r="U57" s="103"/>
      <c r="V57" s="8"/>
      <c r="W57" s="8"/>
      <c r="X57" s="8"/>
      <c r="Y57" s="8"/>
      <c r="Z57" s="8"/>
      <c r="AA57" s="8"/>
      <c r="AB57" s="8"/>
      <c r="AC57" s="8"/>
      <c r="AD57" s="6"/>
      <c r="AE57" s="2"/>
      <c r="AF57" s="2"/>
      <c r="AG57" s="3"/>
      <c r="AH57" s="3">
        <f t="shared" si="6"/>
        <v>0</v>
      </c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ht="48.0" customHeight="1">
      <c r="A58" s="69"/>
      <c r="B58" s="94">
        <v>9.0</v>
      </c>
      <c r="C58" s="118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5">
        <f t="shared" si="5"/>
        <v>0</v>
      </c>
      <c r="T58" s="2"/>
      <c r="U58" s="105"/>
      <c r="AD58" s="106"/>
      <c r="AE58" s="2"/>
      <c r="AF58" s="2"/>
      <c r="AG58" s="3"/>
      <c r="AH58" s="3">
        <f t="shared" si="6"/>
        <v>0</v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ht="48.0" customHeight="1">
      <c r="A59" s="69"/>
      <c r="B59" s="86">
        <v>10.0</v>
      </c>
      <c r="C59" s="107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1">
        <f t="shared" si="5"/>
        <v>0</v>
      </c>
      <c r="T59" s="2"/>
      <c r="U59" s="105"/>
      <c r="AD59" s="106"/>
      <c r="AE59" s="2"/>
      <c r="AF59" s="2"/>
      <c r="AG59" s="3"/>
      <c r="AH59" s="3">
        <f t="shared" si="6"/>
        <v>0</v>
      </c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ht="48.0" customHeight="1">
      <c r="A60" s="9"/>
      <c r="B60" s="108">
        <v>11.0</v>
      </c>
      <c r="C60" s="109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5">
        <f t="shared" si="5"/>
        <v>0</v>
      </c>
      <c r="T60" s="2"/>
      <c r="U60" s="10"/>
      <c r="V60" s="12"/>
      <c r="W60" s="12"/>
      <c r="X60" s="12"/>
      <c r="Y60" s="12"/>
      <c r="Z60" s="12"/>
      <c r="AA60" s="12"/>
      <c r="AB60" s="12"/>
      <c r="AC60" s="12"/>
      <c r="AD60" s="11"/>
      <c r="AE60" s="2"/>
      <c r="AF60" s="2"/>
      <c r="AG60" s="3"/>
      <c r="AH60" s="3">
        <f t="shared" si="6"/>
        <v>0</v>
      </c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ht="28.5" customHeight="1">
      <c r="A61" s="2"/>
      <c r="B61" s="11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</row>
    <row r="62" ht="54.75" customHeight="1">
      <c r="A62" s="2"/>
      <c r="B62" s="32" t="s">
        <v>19</v>
      </c>
      <c r="C62" s="33"/>
      <c r="D62" s="34" t="s">
        <v>61</v>
      </c>
      <c r="E62" s="35"/>
      <c r="F62" s="35"/>
      <c r="G62" s="35"/>
      <c r="H62" s="35"/>
      <c r="I62" s="35"/>
      <c r="J62" s="35"/>
      <c r="K62" s="33"/>
      <c r="L62" s="36" t="s">
        <v>21</v>
      </c>
      <c r="M62" s="37"/>
      <c r="N62" s="38"/>
      <c r="O62" s="39" t="s">
        <v>22</v>
      </c>
      <c r="P62" s="40"/>
      <c r="Q62" s="17"/>
      <c r="R62" s="41"/>
      <c r="S62" s="2"/>
      <c r="T62" s="2"/>
      <c r="U62" s="42" t="s">
        <v>23</v>
      </c>
      <c r="V62" s="43"/>
      <c r="W62" s="43"/>
      <c r="X62" s="43"/>
      <c r="Y62" s="43"/>
      <c r="Z62" s="44"/>
      <c r="AA62" s="45"/>
      <c r="AB62" s="43"/>
      <c r="AC62" s="43"/>
      <c r="AD62" s="44"/>
      <c r="AE62" s="2"/>
      <c r="AF62" s="2"/>
      <c r="AG62" s="3" t="str">
        <f>AA62</f>
        <v/>
      </c>
      <c r="AH62" s="3" t="s">
        <v>24</v>
      </c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</row>
    <row r="63" ht="48.0" customHeight="1">
      <c r="A63" s="2"/>
      <c r="B63" s="46" t="s">
        <v>25</v>
      </c>
      <c r="C63" s="47"/>
      <c r="D63" s="48" t="s">
        <v>26</v>
      </c>
      <c r="E63" s="49"/>
      <c r="F63" s="50"/>
      <c r="G63" s="51" t="s">
        <v>27</v>
      </c>
      <c r="H63" s="49"/>
      <c r="I63" s="49"/>
      <c r="J63" s="48" t="s">
        <v>28</v>
      </c>
      <c r="K63" s="49"/>
      <c r="L63" s="50"/>
      <c r="M63" s="51" t="s">
        <v>29</v>
      </c>
      <c r="N63" s="49"/>
      <c r="O63" s="49"/>
      <c r="P63" s="52" t="s">
        <v>30</v>
      </c>
      <c r="Q63" s="12"/>
      <c r="R63" s="11"/>
      <c r="S63" s="2"/>
      <c r="T63" s="2"/>
      <c r="U63" s="53"/>
      <c r="Z63" s="54"/>
      <c r="AA63" s="53"/>
      <c r="AD63" s="54"/>
      <c r="AE63" s="2"/>
      <c r="AF63" s="2"/>
      <c r="AG63" s="3" t="str">
        <f>AA66</f>
        <v/>
      </c>
      <c r="AH63" s="3" t="s">
        <v>31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</row>
    <row r="64" ht="48.0" customHeight="1">
      <c r="A64" s="55" t="s">
        <v>58</v>
      </c>
      <c r="B64" s="56" t="s">
        <v>33</v>
      </c>
      <c r="C64" s="57" t="s">
        <v>34</v>
      </c>
      <c r="D64" s="61" t="s">
        <v>35</v>
      </c>
      <c r="E64" s="59" t="s">
        <v>36</v>
      </c>
      <c r="F64" s="60" t="s">
        <v>37</v>
      </c>
      <c r="G64" s="61" t="s">
        <v>35</v>
      </c>
      <c r="H64" s="62" t="s">
        <v>36</v>
      </c>
      <c r="I64" s="62" t="s">
        <v>37</v>
      </c>
      <c r="J64" s="63" t="s">
        <v>35</v>
      </c>
      <c r="K64" s="62" t="s">
        <v>36</v>
      </c>
      <c r="L64" s="60" t="s">
        <v>37</v>
      </c>
      <c r="M64" s="61" t="s">
        <v>35</v>
      </c>
      <c r="N64" s="62" t="s">
        <v>36</v>
      </c>
      <c r="O64" s="62" t="s">
        <v>37</v>
      </c>
      <c r="P64" s="63" t="s">
        <v>35</v>
      </c>
      <c r="Q64" s="62" t="s">
        <v>36</v>
      </c>
      <c r="R64" s="64" t="s">
        <v>37</v>
      </c>
      <c r="S64" s="65" t="s">
        <v>38</v>
      </c>
      <c r="T64" s="2"/>
      <c r="U64" s="66"/>
      <c r="V64" s="67"/>
      <c r="W64" s="67"/>
      <c r="X64" s="67"/>
      <c r="Y64" s="67"/>
      <c r="Z64" s="68"/>
      <c r="AA64" s="66"/>
      <c r="AB64" s="67"/>
      <c r="AC64" s="67"/>
      <c r="AD64" s="68"/>
      <c r="AE64" s="2"/>
      <c r="AF64" s="2"/>
      <c r="AG64" s="3"/>
      <c r="AH64" s="3" t="s">
        <v>39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</row>
    <row r="65" ht="48.0" customHeight="1">
      <c r="A65" s="69"/>
      <c r="B65" s="70">
        <v>1.0</v>
      </c>
      <c r="C65" s="71" t="s">
        <v>62</v>
      </c>
      <c r="D65" s="101">
        <v>9.0</v>
      </c>
      <c r="E65" s="101">
        <v>15.0</v>
      </c>
      <c r="F65" s="101">
        <v>1.0</v>
      </c>
      <c r="G65" s="101">
        <v>8.0</v>
      </c>
      <c r="H65" s="101">
        <v>15.0</v>
      </c>
      <c r="I65" s="101">
        <v>1.0</v>
      </c>
      <c r="J65" s="101">
        <v>9.0</v>
      </c>
      <c r="K65" s="101">
        <v>12.5</v>
      </c>
      <c r="L65" s="101">
        <v>1.0</v>
      </c>
      <c r="M65" s="74"/>
      <c r="N65" s="74"/>
      <c r="O65" s="74"/>
      <c r="P65" s="74"/>
      <c r="Q65" s="74"/>
      <c r="R65" s="74"/>
      <c r="S65" s="75">
        <f t="shared" ref="S65:S71" si="7">SUM(D65*E65)+(G65*H65)+(J65*K65)+(M65*N65)+(P65*Q65)</f>
        <v>367.5</v>
      </c>
      <c r="T65" s="2"/>
      <c r="U65" s="76">
        <v>1.0</v>
      </c>
      <c r="V65" s="77">
        <v>2.0</v>
      </c>
      <c r="W65" s="78">
        <v>3.0</v>
      </c>
      <c r="X65" s="79">
        <v>4.0</v>
      </c>
      <c r="Y65" s="80">
        <v>5.0</v>
      </c>
      <c r="Z65" s="81">
        <v>6.0</v>
      </c>
      <c r="AA65" s="82">
        <v>7.0</v>
      </c>
      <c r="AB65" s="83">
        <v>8.0</v>
      </c>
      <c r="AC65" s="84">
        <v>9.0</v>
      </c>
      <c r="AD65" s="85">
        <v>10.0</v>
      </c>
      <c r="AE65" s="2"/>
      <c r="AF65" s="2"/>
      <c r="AG65" s="3"/>
      <c r="AH65" s="3">
        <f t="shared" ref="AH65:AH75" si="8">MAX(Q65,N65,K65,H65,E65)</f>
        <v>15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</row>
    <row r="66" ht="48.0" customHeight="1">
      <c r="A66" s="69"/>
      <c r="B66" s="86">
        <v>2.0</v>
      </c>
      <c r="C66" s="87" t="s">
        <v>63</v>
      </c>
      <c r="D66" s="88">
        <v>9.0</v>
      </c>
      <c r="E66" s="100">
        <v>12.5</v>
      </c>
      <c r="F66" s="100">
        <v>1.0</v>
      </c>
      <c r="G66" s="100">
        <v>8.0</v>
      </c>
      <c r="H66" s="100">
        <v>12.5</v>
      </c>
      <c r="I66" s="100">
        <v>1.0</v>
      </c>
      <c r="J66" s="100">
        <v>9.0</v>
      </c>
      <c r="K66" s="100">
        <v>10.0</v>
      </c>
      <c r="L66" s="100">
        <v>1.0</v>
      </c>
      <c r="M66" s="90"/>
      <c r="N66" s="90"/>
      <c r="O66" s="90"/>
      <c r="P66" s="90"/>
      <c r="Q66" s="90"/>
      <c r="R66" s="90"/>
      <c r="S66" s="91">
        <f t="shared" si="7"/>
        <v>302.5</v>
      </c>
      <c r="T66" s="2"/>
      <c r="U66" s="92" t="s">
        <v>42</v>
      </c>
      <c r="V66" s="43"/>
      <c r="W66" s="43"/>
      <c r="X66" s="43"/>
      <c r="Y66" s="43"/>
      <c r="Z66" s="44"/>
      <c r="AA66" s="93"/>
      <c r="AB66" s="43"/>
      <c r="AC66" s="43"/>
      <c r="AD66" s="44"/>
      <c r="AE66" s="2"/>
      <c r="AF66" s="2"/>
      <c r="AG66" s="3"/>
      <c r="AH66" s="3">
        <f t="shared" si="8"/>
        <v>12.5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</row>
    <row r="67" ht="48.0" customHeight="1">
      <c r="A67" s="69"/>
      <c r="B67" s="94">
        <v>3.0</v>
      </c>
      <c r="C67" s="71" t="s">
        <v>64</v>
      </c>
      <c r="D67" s="101">
        <v>11.0</v>
      </c>
      <c r="E67" s="101">
        <v>40.0</v>
      </c>
      <c r="F67" s="101">
        <v>1.0</v>
      </c>
      <c r="G67" s="101">
        <v>10.0</v>
      </c>
      <c r="H67" s="101">
        <v>40.0</v>
      </c>
      <c r="I67" s="101">
        <v>1.0</v>
      </c>
      <c r="J67" s="101"/>
      <c r="K67" s="101"/>
      <c r="L67" s="101"/>
      <c r="M67" s="74"/>
      <c r="N67" s="74"/>
      <c r="O67" s="74"/>
      <c r="P67" s="74"/>
      <c r="Q67" s="74"/>
      <c r="R67" s="74"/>
      <c r="S67" s="75">
        <f t="shared" si="7"/>
        <v>840</v>
      </c>
      <c r="T67" s="2"/>
      <c r="U67" s="53"/>
      <c r="Z67" s="54"/>
      <c r="AA67" s="53"/>
      <c r="AD67" s="54"/>
      <c r="AE67" s="2"/>
      <c r="AF67" s="2"/>
      <c r="AG67" s="3"/>
      <c r="AH67" s="3">
        <f t="shared" si="8"/>
        <v>40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</row>
    <row r="68" ht="48.0" customHeight="1">
      <c r="A68" s="69"/>
      <c r="B68" s="86">
        <v>4.0</v>
      </c>
      <c r="C68" s="87" t="s">
        <v>65</v>
      </c>
      <c r="D68" s="100">
        <v>11.0</v>
      </c>
      <c r="E68" s="100">
        <v>40.0</v>
      </c>
      <c r="F68" s="100">
        <v>1.0</v>
      </c>
      <c r="G68" s="100">
        <v>10.0</v>
      </c>
      <c r="H68" s="100">
        <v>40.0</v>
      </c>
      <c r="I68" s="100">
        <v>1.0</v>
      </c>
      <c r="J68" s="100"/>
      <c r="K68" s="100"/>
      <c r="L68" s="100"/>
      <c r="M68" s="100"/>
      <c r="N68" s="100"/>
      <c r="O68" s="100"/>
      <c r="P68" s="90"/>
      <c r="Q68" s="90"/>
      <c r="R68" s="90"/>
      <c r="S68" s="91">
        <f t="shared" si="7"/>
        <v>840</v>
      </c>
      <c r="T68" s="2"/>
      <c r="U68" s="66"/>
      <c r="V68" s="67"/>
      <c r="W68" s="67"/>
      <c r="X68" s="67"/>
      <c r="Y68" s="67"/>
      <c r="Z68" s="68"/>
      <c r="AA68" s="66"/>
      <c r="AB68" s="67"/>
      <c r="AC68" s="67"/>
      <c r="AD68" s="68"/>
      <c r="AE68" s="2"/>
      <c r="AF68" s="2"/>
      <c r="AG68" s="3"/>
      <c r="AH68" s="3">
        <f t="shared" si="8"/>
        <v>40</v>
      </c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</row>
    <row r="69" ht="48.0" customHeight="1">
      <c r="A69" s="69"/>
      <c r="B69" s="94">
        <v>5.0</v>
      </c>
      <c r="C69" s="71" t="s">
        <v>66</v>
      </c>
      <c r="D69" s="101">
        <v>8.0</v>
      </c>
      <c r="E69" s="101">
        <v>70.0</v>
      </c>
      <c r="F69" s="101">
        <v>1.0</v>
      </c>
      <c r="G69" s="101">
        <v>9.0</v>
      </c>
      <c r="H69" s="101">
        <v>65.0</v>
      </c>
      <c r="I69" s="101">
        <v>1.0</v>
      </c>
      <c r="J69" s="101">
        <v>8.0</v>
      </c>
      <c r="K69" s="101">
        <v>65.0</v>
      </c>
      <c r="L69" s="101">
        <v>1.0</v>
      </c>
      <c r="M69" s="74"/>
      <c r="N69" s="74"/>
      <c r="O69" s="74"/>
      <c r="P69" s="74"/>
      <c r="Q69" s="74"/>
      <c r="R69" s="74"/>
      <c r="S69" s="75">
        <f t="shared" si="7"/>
        <v>1665</v>
      </c>
      <c r="T69" s="2"/>
      <c r="U69" s="95">
        <v>1.0</v>
      </c>
      <c r="V69" s="96">
        <v>2.0</v>
      </c>
      <c r="W69" s="97">
        <v>3.0</v>
      </c>
      <c r="X69" s="98">
        <v>4.0</v>
      </c>
      <c r="Y69" s="81">
        <v>5.0</v>
      </c>
      <c r="Z69" s="80">
        <v>6.0</v>
      </c>
      <c r="AA69" s="79">
        <v>7.0</v>
      </c>
      <c r="AB69" s="78">
        <v>8.0</v>
      </c>
      <c r="AC69" s="77">
        <v>9.0</v>
      </c>
      <c r="AD69" s="99">
        <v>10.0</v>
      </c>
      <c r="AE69" s="2"/>
      <c r="AF69" s="2"/>
      <c r="AG69" s="3"/>
      <c r="AH69" s="3">
        <f t="shared" si="8"/>
        <v>70</v>
      </c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</row>
    <row r="70" ht="48.0" customHeight="1">
      <c r="A70" s="69"/>
      <c r="B70" s="86">
        <v>6.0</v>
      </c>
      <c r="C70" s="87" t="s">
        <v>67</v>
      </c>
      <c r="D70" s="119">
        <v>8.0</v>
      </c>
      <c r="E70" s="100">
        <v>30.0</v>
      </c>
      <c r="F70" s="100">
        <v>1.0</v>
      </c>
      <c r="G70" s="100">
        <v>9.0</v>
      </c>
      <c r="H70" s="100">
        <v>27.5</v>
      </c>
      <c r="I70" s="100">
        <v>1.0</v>
      </c>
      <c r="J70" s="100">
        <v>8.0</v>
      </c>
      <c r="K70" s="100">
        <v>27.5</v>
      </c>
      <c r="L70" s="100">
        <v>1.0</v>
      </c>
      <c r="M70" s="90"/>
      <c r="N70" s="90"/>
      <c r="O70" s="90"/>
      <c r="P70" s="90"/>
      <c r="Q70" s="90"/>
      <c r="R70" s="90"/>
      <c r="S70" s="91">
        <f t="shared" si="7"/>
        <v>707.5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3"/>
      <c r="AH70" s="3">
        <f t="shared" si="8"/>
        <v>30</v>
      </c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</row>
    <row r="71" ht="48.0" customHeight="1">
      <c r="A71" s="69"/>
      <c r="B71" s="94">
        <v>7.0</v>
      </c>
      <c r="C71" s="71" t="s">
        <v>68</v>
      </c>
      <c r="D71" s="101">
        <v>8.0</v>
      </c>
      <c r="E71" s="101">
        <v>60.0</v>
      </c>
      <c r="F71" s="101">
        <v>1.0</v>
      </c>
      <c r="G71" s="101">
        <v>8.0</v>
      </c>
      <c r="H71" s="101">
        <v>55.0</v>
      </c>
      <c r="I71" s="101">
        <v>1.0</v>
      </c>
      <c r="J71" s="101">
        <v>8.0</v>
      </c>
      <c r="K71" s="101">
        <v>50.0</v>
      </c>
      <c r="L71" s="101">
        <v>1.0</v>
      </c>
      <c r="M71" s="73"/>
      <c r="N71" s="74"/>
      <c r="O71" s="74"/>
      <c r="P71" s="74"/>
      <c r="Q71" s="74"/>
      <c r="R71" s="74"/>
      <c r="S71" s="75">
        <f t="shared" si="7"/>
        <v>1320</v>
      </c>
      <c r="T71" s="2"/>
      <c r="U71" s="102" t="s">
        <v>47</v>
      </c>
      <c r="V71" s="35"/>
      <c r="W71" s="35"/>
      <c r="X71" s="35"/>
      <c r="Y71" s="35"/>
      <c r="Z71" s="35"/>
      <c r="AA71" s="35"/>
      <c r="AB71" s="35"/>
      <c r="AC71" s="35"/>
      <c r="AD71" s="33"/>
      <c r="AE71" s="2"/>
      <c r="AF71" s="2"/>
      <c r="AG71" s="3"/>
      <c r="AH71" s="3">
        <f t="shared" si="8"/>
        <v>60</v>
      </c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</row>
    <row r="72" ht="48.0" customHeight="1">
      <c r="A72" s="69"/>
      <c r="B72" s="86">
        <v>8.0</v>
      </c>
      <c r="C72" s="87" t="s">
        <v>69</v>
      </c>
      <c r="D72" s="100">
        <v>13.0</v>
      </c>
      <c r="E72" s="100">
        <v>60.0</v>
      </c>
      <c r="F72" s="100">
        <v>1.0</v>
      </c>
      <c r="G72" s="100">
        <v>12.0</v>
      </c>
      <c r="H72" s="100">
        <v>60.0</v>
      </c>
      <c r="I72" s="100">
        <v>1.0</v>
      </c>
      <c r="J72" s="100"/>
      <c r="K72" s="100"/>
      <c r="L72" s="100"/>
      <c r="M72" s="100"/>
      <c r="N72" s="100"/>
      <c r="O72" s="100"/>
      <c r="P72" s="90"/>
      <c r="Q72" s="90"/>
      <c r="R72" s="90"/>
      <c r="S72" s="91">
        <v>0.0</v>
      </c>
      <c r="T72" s="2"/>
      <c r="U72" s="114"/>
      <c r="V72" s="8"/>
      <c r="W72" s="8"/>
      <c r="X72" s="8"/>
      <c r="Y72" s="8"/>
      <c r="Z72" s="8"/>
      <c r="AA72" s="8"/>
      <c r="AB72" s="8"/>
      <c r="AC72" s="8"/>
      <c r="AD72" s="6"/>
      <c r="AE72" s="2"/>
      <c r="AF72" s="2"/>
      <c r="AG72" s="3"/>
      <c r="AH72" s="3">
        <f t="shared" si="8"/>
        <v>60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</row>
    <row r="73" ht="48.0" customHeight="1">
      <c r="A73" s="69"/>
      <c r="B73" s="94">
        <v>9.0</v>
      </c>
      <c r="C73" s="71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5">
        <f t="shared" ref="S73:S75" si="9">SUM(D73*E73)+(G73*H73)+(J73*K73)+(M73*N73)+(P73*Q73)</f>
        <v>0</v>
      </c>
      <c r="T73" s="2"/>
      <c r="U73" s="105"/>
      <c r="AD73" s="106"/>
      <c r="AE73" s="2"/>
      <c r="AF73" s="2"/>
      <c r="AG73" s="3"/>
      <c r="AH73" s="3">
        <f t="shared" si="8"/>
        <v>0</v>
      </c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</row>
    <row r="74" ht="48.0" customHeight="1">
      <c r="A74" s="69"/>
      <c r="B74" s="86">
        <v>10.0</v>
      </c>
      <c r="C74" s="87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1">
        <f t="shared" si="9"/>
        <v>0</v>
      </c>
      <c r="T74" s="2"/>
      <c r="U74" s="105"/>
      <c r="AD74" s="106"/>
      <c r="AE74" s="2"/>
      <c r="AF74" s="2"/>
      <c r="AG74" s="3"/>
      <c r="AH74" s="3">
        <f t="shared" si="8"/>
        <v>0</v>
      </c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</row>
    <row r="75" ht="48.0" customHeight="1">
      <c r="A75" s="9"/>
      <c r="B75" s="108">
        <v>11.0</v>
      </c>
      <c r="C75" s="109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5">
        <f t="shared" si="9"/>
        <v>0</v>
      </c>
      <c r="T75" s="2"/>
      <c r="U75" s="10"/>
      <c r="V75" s="12"/>
      <c r="W75" s="12"/>
      <c r="X75" s="12"/>
      <c r="Y75" s="12"/>
      <c r="Z75" s="12"/>
      <c r="AA75" s="12"/>
      <c r="AB75" s="12"/>
      <c r="AC75" s="12"/>
      <c r="AD75" s="11"/>
      <c r="AE75" s="2"/>
      <c r="AF75" s="2"/>
      <c r="AG75" s="3"/>
      <c r="AH75" s="3">
        <f t="shared" si="8"/>
        <v>0</v>
      </c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</row>
    <row r="76" ht="45.0" customHeight="1">
      <c r="A76" s="2"/>
      <c r="B76" s="11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 t="s">
        <v>3</v>
      </c>
      <c r="Q76" s="2"/>
      <c r="R76" s="2"/>
      <c r="S76" s="2"/>
      <c r="T76" s="2"/>
      <c r="U76" s="2"/>
      <c r="V76" s="2"/>
      <c r="W76" s="2"/>
      <c r="X76" s="2"/>
      <c r="Y76" s="2"/>
      <c r="Z76" s="3" t="s">
        <v>3</v>
      </c>
      <c r="AA76" s="2"/>
      <c r="AB76" s="2"/>
      <c r="AC76" s="2"/>
      <c r="AD76" s="2"/>
      <c r="AE76" s="2"/>
      <c r="AF76" s="2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</row>
    <row r="77" ht="54.75" customHeight="1">
      <c r="A77" s="2"/>
      <c r="B77" s="32" t="s">
        <v>19</v>
      </c>
      <c r="C77" s="33"/>
      <c r="D77" s="34" t="s">
        <v>70</v>
      </c>
      <c r="E77" s="35"/>
      <c r="F77" s="35"/>
      <c r="G77" s="35"/>
      <c r="H77" s="35"/>
      <c r="I77" s="35"/>
      <c r="J77" s="35"/>
      <c r="K77" s="33"/>
      <c r="L77" s="36" t="s">
        <v>21</v>
      </c>
      <c r="M77" s="37"/>
      <c r="N77" s="38"/>
      <c r="O77" s="39" t="s">
        <v>22</v>
      </c>
      <c r="P77" s="40"/>
      <c r="Q77" s="17"/>
      <c r="R77" s="41"/>
      <c r="S77" s="2"/>
      <c r="T77" s="2"/>
      <c r="U77" s="42" t="s">
        <v>23</v>
      </c>
      <c r="V77" s="43"/>
      <c r="W77" s="43"/>
      <c r="X77" s="43"/>
      <c r="Y77" s="43"/>
      <c r="Z77" s="44"/>
      <c r="AA77" s="120"/>
      <c r="AB77" s="43"/>
      <c r="AC77" s="43"/>
      <c r="AD77" s="44"/>
      <c r="AE77" s="2"/>
      <c r="AF77" s="2"/>
      <c r="AG77" s="3" t="str">
        <f>AA77</f>
        <v/>
      </c>
      <c r="AH77" s="3" t="s">
        <v>24</v>
      </c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</row>
    <row r="78" ht="48.0" customHeight="1">
      <c r="A78" s="2"/>
      <c r="B78" s="46" t="s">
        <v>25</v>
      </c>
      <c r="C78" s="47"/>
      <c r="D78" s="48" t="s">
        <v>26</v>
      </c>
      <c r="E78" s="49"/>
      <c r="F78" s="50"/>
      <c r="G78" s="51" t="s">
        <v>27</v>
      </c>
      <c r="H78" s="49"/>
      <c r="I78" s="49"/>
      <c r="J78" s="48" t="s">
        <v>28</v>
      </c>
      <c r="K78" s="49"/>
      <c r="L78" s="50"/>
      <c r="M78" s="51" t="s">
        <v>29</v>
      </c>
      <c r="N78" s="49"/>
      <c r="O78" s="49"/>
      <c r="P78" s="52" t="s">
        <v>30</v>
      </c>
      <c r="Q78" s="12"/>
      <c r="R78" s="11"/>
      <c r="S78" s="2"/>
      <c r="T78" s="2"/>
      <c r="U78" s="53"/>
      <c r="Z78" s="54"/>
      <c r="AA78" s="53"/>
      <c r="AD78" s="54"/>
      <c r="AE78" s="2"/>
      <c r="AF78" s="2"/>
      <c r="AG78" s="3" t="str">
        <f>AA81</f>
        <v/>
      </c>
      <c r="AH78" s="3" t="s">
        <v>31</v>
      </c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</row>
    <row r="79" ht="48.0" customHeight="1">
      <c r="A79" s="55" t="s">
        <v>71</v>
      </c>
      <c r="B79" s="56" t="s">
        <v>33</v>
      </c>
      <c r="C79" s="57" t="s">
        <v>34</v>
      </c>
      <c r="D79" s="61" t="s">
        <v>35</v>
      </c>
      <c r="E79" s="59" t="s">
        <v>36</v>
      </c>
      <c r="F79" s="60" t="s">
        <v>37</v>
      </c>
      <c r="G79" s="61" t="s">
        <v>35</v>
      </c>
      <c r="H79" s="62" t="s">
        <v>36</v>
      </c>
      <c r="I79" s="62" t="s">
        <v>37</v>
      </c>
      <c r="J79" s="63" t="s">
        <v>35</v>
      </c>
      <c r="K79" s="62" t="s">
        <v>36</v>
      </c>
      <c r="L79" s="60" t="s">
        <v>37</v>
      </c>
      <c r="M79" s="61" t="s">
        <v>35</v>
      </c>
      <c r="N79" s="62" t="s">
        <v>36</v>
      </c>
      <c r="O79" s="62" t="s">
        <v>37</v>
      </c>
      <c r="P79" s="63" t="s">
        <v>35</v>
      </c>
      <c r="Q79" s="62" t="s">
        <v>36</v>
      </c>
      <c r="R79" s="64" t="s">
        <v>37</v>
      </c>
      <c r="S79" s="65" t="s">
        <v>38</v>
      </c>
      <c r="T79" s="2"/>
      <c r="U79" s="66"/>
      <c r="V79" s="67"/>
      <c r="W79" s="67"/>
      <c r="X79" s="67"/>
      <c r="Y79" s="67"/>
      <c r="Z79" s="68"/>
      <c r="AA79" s="66"/>
      <c r="AB79" s="67"/>
      <c r="AC79" s="67"/>
      <c r="AD79" s="68"/>
      <c r="AE79" s="2"/>
      <c r="AF79" s="2"/>
      <c r="AG79" s="3"/>
      <c r="AH79" s="3" t="s">
        <v>39</v>
      </c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</row>
    <row r="80" ht="48.0" customHeight="1">
      <c r="A80" s="69"/>
      <c r="B80" s="70">
        <v>1.0</v>
      </c>
      <c r="C80" s="71" t="s">
        <v>72</v>
      </c>
      <c r="D80" s="101" t="s">
        <v>73</v>
      </c>
      <c r="E80" s="101">
        <v>68.0</v>
      </c>
      <c r="F80" s="101">
        <v>1.0</v>
      </c>
      <c r="G80" s="101" t="s">
        <v>74</v>
      </c>
      <c r="H80" s="101">
        <v>61.0</v>
      </c>
      <c r="I80" s="101">
        <v>1.0</v>
      </c>
      <c r="J80" s="101"/>
      <c r="K80" s="101"/>
      <c r="L80" s="101"/>
      <c r="M80" s="74"/>
      <c r="N80" s="74"/>
      <c r="O80" s="74"/>
      <c r="P80" s="74"/>
      <c r="Q80" s="74"/>
      <c r="R80" s="74"/>
      <c r="S80" s="75" t="str">
        <f t="shared" ref="S80:S90" si="10">SUM(D80*E80)+(G80*H80)+(J80*K80)+(M80*N80)+(P80*Q80)</f>
        <v>#VALUE!</v>
      </c>
      <c r="T80" s="2"/>
      <c r="U80" s="76">
        <v>1.0</v>
      </c>
      <c r="V80" s="77">
        <v>2.0</v>
      </c>
      <c r="W80" s="78">
        <v>3.0</v>
      </c>
      <c r="X80" s="79">
        <v>4.0</v>
      </c>
      <c r="Y80" s="80">
        <v>5.0</v>
      </c>
      <c r="Z80" s="81">
        <v>6.0</v>
      </c>
      <c r="AA80" s="82">
        <v>7.0</v>
      </c>
      <c r="AB80" s="83">
        <v>8.0</v>
      </c>
      <c r="AC80" s="84">
        <v>9.0</v>
      </c>
      <c r="AD80" s="85">
        <v>10.0</v>
      </c>
      <c r="AE80" s="2"/>
      <c r="AF80" s="2"/>
      <c r="AG80" s="3"/>
      <c r="AH80" s="3">
        <f t="shared" ref="AH80:AH90" si="11">MAX(Q80,N80,K80,H80,E80)</f>
        <v>68</v>
      </c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</row>
    <row r="81" ht="48.0" customHeight="1">
      <c r="A81" s="69"/>
      <c r="B81" s="86">
        <v>2.0</v>
      </c>
      <c r="C81" s="87" t="s">
        <v>75</v>
      </c>
      <c r="D81" s="100">
        <v>5.0</v>
      </c>
      <c r="E81" s="100">
        <v>140.0</v>
      </c>
      <c r="F81" s="100">
        <v>0.0</v>
      </c>
      <c r="G81" s="100">
        <v>9.0</v>
      </c>
      <c r="H81" s="100">
        <v>120.0</v>
      </c>
      <c r="I81" s="100">
        <v>1.0</v>
      </c>
      <c r="J81" s="100">
        <v>8.0</v>
      </c>
      <c r="K81" s="100">
        <v>120.0</v>
      </c>
      <c r="L81" s="100">
        <v>1.0</v>
      </c>
      <c r="M81" s="90"/>
      <c r="N81" s="90"/>
      <c r="O81" s="90"/>
      <c r="P81" s="90"/>
      <c r="Q81" s="90"/>
      <c r="R81" s="90"/>
      <c r="S81" s="91">
        <f t="shared" si="10"/>
        <v>2740</v>
      </c>
      <c r="T81" s="2"/>
      <c r="U81" s="92" t="s">
        <v>42</v>
      </c>
      <c r="V81" s="43"/>
      <c r="W81" s="43"/>
      <c r="X81" s="43"/>
      <c r="Y81" s="43"/>
      <c r="Z81" s="44"/>
      <c r="AA81" s="93"/>
      <c r="AB81" s="43"/>
      <c r="AC81" s="43"/>
      <c r="AD81" s="44"/>
      <c r="AE81" s="2"/>
      <c r="AF81" s="2"/>
      <c r="AG81" s="3"/>
      <c r="AH81" s="3">
        <f t="shared" si="11"/>
        <v>140</v>
      </c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</row>
    <row r="82" ht="48.0" customHeight="1">
      <c r="A82" s="69"/>
      <c r="B82" s="94">
        <v>3.0</v>
      </c>
      <c r="C82" s="71" t="s">
        <v>76</v>
      </c>
      <c r="D82" s="101">
        <v>9.0</v>
      </c>
      <c r="E82" s="101">
        <v>107.0</v>
      </c>
      <c r="F82" s="101">
        <v>1.0</v>
      </c>
      <c r="G82" s="101">
        <v>9.0</v>
      </c>
      <c r="H82" s="101">
        <v>104.0</v>
      </c>
      <c r="I82" s="101">
        <v>1.0</v>
      </c>
      <c r="J82" s="101">
        <v>9.0</v>
      </c>
      <c r="K82" s="101">
        <v>96.0</v>
      </c>
      <c r="L82" s="101">
        <v>1.0</v>
      </c>
      <c r="M82" s="101"/>
      <c r="N82" s="101"/>
      <c r="O82" s="101"/>
      <c r="P82" s="74"/>
      <c r="Q82" s="74"/>
      <c r="R82" s="74"/>
      <c r="S82" s="75">
        <f t="shared" si="10"/>
        <v>2763</v>
      </c>
      <c r="T82" s="2"/>
      <c r="U82" s="53"/>
      <c r="Z82" s="54"/>
      <c r="AA82" s="53"/>
      <c r="AD82" s="54"/>
      <c r="AE82" s="2"/>
      <c r="AF82" s="2"/>
      <c r="AG82" s="3"/>
      <c r="AH82" s="3">
        <f t="shared" si="11"/>
        <v>107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</row>
    <row r="83" ht="48.0" customHeight="1">
      <c r="A83" s="69"/>
      <c r="B83" s="86">
        <v>4.0</v>
      </c>
      <c r="C83" s="87" t="s">
        <v>52</v>
      </c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90"/>
      <c r="Q83" s="90"/>
      <c r="R83" s="90"/>
      <c r="S83" s="91">
        <f t="shared" si="10"/>
        <v>0</v>
      </c>
      <c r="T83" s="2"/>
      <c r="U83" s="66"/>
      <c r="V83" s="67"/>
      <c r="W83" s="67"/>
      <c r="X83" s="67"/>
      <c r="Y83" s="67"/>
      <c r="Z83" s="68"/>
      <c r="AA83" s="66"/>
      <c r="AB83" s="67"/>
      <c r="AC83" s="67"/>
      <c r="AD83" s="68"/>
      <c r="AE83" s="2"/>
      <c r="AF83" s="2"/>
      <c r="AG83" s="3"/>
      <c r="AH83" s="3">
        <f t="shared" si="11"/>
        <v>0</v>
      </c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</row>
    <row r="84" ht="48.0" customHeight="1">
      <c r="A84" s="69"/>
      <c r="B84" s="94">
        <v>5.0</v>
      </c>
      <c r="C84" s="71" t="s">
        <v>77</v>
      </c>
      <c r="D84" s="101">
        <v>14.0</v>
      </c>
      <c r="E84" s="101">
        <v>10.0</v>
      </c>
      <c r="F84" s="101">
        <v>1.0</v>
      </c>
      <c r="G84" s="101">
        <v>12.0</v>
      </c>
      <c r="H84" s="101">
        <v>10.0</v>
      </c>
      <c r="I84" s="101">
        <v>1.0</v>
      </c>
      <c r="J84" s="101">
        <v>14.0</v>
      </c>
      <c r="K84" s="101">
        <v>7.5</v>
      </c>
      <c r="L84" s="101">
        <v>1.0</v>
      </c>
      <c r="M84" s="74"/>
      <c r="N84" s="74"/>
      <c r="O84" s="74"/>
      <c r="P84" s="74"/>
      <c r="Q84" s="74"/>
      <c r="R84" s="74"/>
      <c r="S84" s="75">
        <f t="shared" si="10"/>
        <v>365</v>
      </c>
      <c r="T84" s="2"/>
      <c r="U84" s="95">
        <v>1.0</v>
      </c>
      <c r="V84" s="96">
        <v>2.0</v>
      </c>
      <c r="W84" s="97">
        <v>3.0</v>
      </c>
      <c r="X84" s="98">
        <v>4.0</v>
      </c>
      <c r="Y84" s="81">
        <v>5.0</v>
      </c>
      <c r="Z84" s="80">
        <v>6.0</v>
      </c>
      <c r="AA84" s="79">
        <v>7.0</v>
      </c>
      <c r="AB84" s="78">
        <v>8.0</v>
      </c>
      <c r="AC84" s="77">
        <v>9.0</v>
      </c>
      <c r="AD84" s="99">
        <v>10.0</v>
      </c>
      <c r="AE84" s="2"/>
      <c r="AF84" s="2"/>
      <c r="AG84" s="3"/>
      <c r="AH84" s="3">
        <f t="shared" si="11"/>
        <v>10</v>
      </c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</row>
    <row r="85" ht="48.0" customHeight="1">
      <c r="A85" s="69"/>
      <c r="B85" s="86">
        <v>6.0</v>
      </c>
      <c r="C85" s="87" t="s">
        <v>78</v>
      </c>
      <c r="D85" s="100">
        <v>8.0</v>
      </c>
      <c r="E85" s="100">
        <v>30.0</v>
      </c>
      <c r="F85" s="100">
        <v>1.0</v>
      </c>
      <c r="G85" s="100">
        <v>9.0</v>
      </c>
      <c r="H85" s="100">
        <v>20.0</v>
      </c>
      <c r="I85" s="100">
        <v>1.0</v>
      </c>
      <c r="J85" s="100">
        <v>7.0</v>
      </c>
      <c r="K85" s="100">
        <v>20.0</v>
      </c>
      <c r="L85" s="100">
        <v>1.0</v>
      </c>
      <c r="M85" s="90"/>
      <c r="N85" s="90"/>
      <c r="O85" s="100"/>
      <c r="P85" s="90"/>
      <c r="Q85" s="90"/>
      <c r="R85" s="90"/>
      <c r="S85" s="91">
        <f t="shared" si="10"/>
        <v>560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3"/>
      <c r="AH85" s="3">
        <f t="shared" si="11"/>
        <v>30</v>
      </c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</row>
    <row r="86" ht="48.0" customHeight="1">
      <c r="A86" s="69"/>
      <c r="B86" s="94">
        <v>7.0</v>
      </c>
      <c r="C86" s="71" t="s">
        <v>79</v>
      </c>
      <c r="D86" s="101">
        <v>22.0</v>
      </c>
      <c r="E86" s="101">
        <v>6.0</v>
      </c>
      <c r="F86" s="101">
        <v>1.0</v>
      </c>
      <c r="G86" s="101">
        <v>21.0</v>
      </c>
      <c r="H86" s="101">
        <v>5.0</v>
      </c>
      <c r="I86" s="101">
        <v>1.0</v>
      </c>
      <c r="J86" s="101"/>
      <c r="K86" s="101"/>
      <c r="L86" s="101"/>
      <c r="M86" s="74"/>
      <c r="N86" s="74"/>
      <c r="O86" s="74"/>
      <c r="P86" s="74"/>
      <c r="Q86" s="74"/>
      <c r="R86" s="74"/>
      <c r="S86" s="75">
        <f t="shared" si="10"/>
        <v>237</v>
      </c>
      <c r="T86" s="2"/>
      <c r="U86" s="102" t="s">
        <v>47</v>
      </c>
      <c r="V86" s="35"/>
      <c r="W86" s="35"/>
      <c r="X86" s="35"/>
      <c r="Y86" s="35"/>
      <c r="Z86" s="35"/>
      <c r="AA86" s="35"/>
      <c r="AB86" s="35"/>
      <c r="AC86" s="35"/>
      <c r="AD86" s="33"/>
      <c r="AE86" s="2"/>
      <c r="AF86" s="2"/>
      <c r="AG86" s="3"/>
      <c r="AH86" s="3">
        <f t="shared" si="11"/>
        <v>6</v>
      </c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</row>
    <row r="87" ht="48.0" customHeight="1">
      <c r="A87" s="69"/>
      <c r="B87" s="86">
        <v>8.0</v>
      </c>
      <c r="C87" s="87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1">
        <f t="shared" si="10"/>
        <v>0</v>
      </c>
      <c r="T87" s="2"/>
      <c r="U87" s="114"/>
      <c r="V87" s="8"/>
      <c r="W87" s="8"/>
      <c r="X87" s="8"/>
      <c r="Y87" s="8"/>
      <c r="Z87" s="8"/>
      <c r="AA87" s="8"/>
      <c r="AB87" s="8"/>
      <c r="AC87" s="8"/>
      <c r="AD87" s="6"/>
      <c r="AE87" s="2"/>
      <c r="AF87" s="2"/>
      <c r="AG87" s="3"/>
      <c r="AH87" s="3">
        <f t="shared" si="11"/>
        <v>0</v>
      </c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</row>
    <row r="88" ht="48.0" customHeight="1">
      <c r="A88" s="69"/>
      <c r="B88" s="94">
        <v>9.0</v>
      </c>
      <c r="C88" s="71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5">
        <f t="shared" si="10"/>
        <v>0</v>
      </c>
      <c r="T88" s="2"/>
      <c r="U88" s="105"/>
      <c r="AD88" s="106"/>
      <c r="AE88" s="2"/>
      <c r="AF88" s="2"/>
      <c r="AG88" s="3"/>
      <c r="AH88" s="3">
        <f t="shared" si="11"/>
        <v>0</v>
      </c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</row>
    <row r="89" ht="48.0" customHeight="1">
      <c r="A89" s="69"/>
      <c r="B89" s="86">
        <v>10.0</v>
      </c>
      <c r="C89" s="87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1">
        <f t="shared" si="10"/>
        <v>0</v>
      </c>
      <c r="T89" s="2"/>
      <c r="U89" s="105"/>
      <c r="AD89" s="106"/>
      <c r="AE89" s="2"/>
      <c r="AF89" s="2"/>
      <c r="AG89" s="3"/>
      <c r="AH89" s="3">
        <f t="shared" si="11"/>
        <v>0</v>
      </c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</row>
    <row r="90" ht="48.0" customHeight="1">
      <c r="A90" s="9"/>
      <c r="B90" s="108">
        <v>11.0</v>
      </c>
      <c r="C90" s="109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5">
        <f t="shared" si="10"/>
        <v>0</v>
      </c>
      <c r="T90" s="2"/>
      <c r="U90" s="10"/>
      <c r="V90" s="12"/>
      <c r="W90" s="12"/>
      <c r="X90" s="12"/>
      <c r="Y90" s="12"/>
      <c r="Z90" s="12"/>
      <c r="AA90" s="12"/>
      <c r="AB90" s="12"/>
      <c r="AC90" s="12"/>
      <c r="AD90" s="11"/>
      <c r="AE90" s="2"/>
      <c r="AF90" s="2"/>
      <c r="AG90" s="3"/>
      <c r="AH90" s="3">
        <f t="shared" si="11"/>
        <v>0</v>
      </c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</row>
    <row r="91" ht="45.0" customHeight="1">
      <c r="A91" s="2"/>
      <c r="B91" s="110"/>
      <c r="C91" s="2"/>
      <c r="D91" s="2"/>
      <c r="E91" s="2"/>
      <c r="F91" s="1"/>
      <c r="G91" s="2"/>
      <c r="H91" s="2"/>
      <c r="I91" s="3" t="s">
        <v>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</row>
    <row r="92" ht="54.75" customHeight="1">
      <c r="A92" s="2"/>
      <c r="B92" s="32" t="s">
        <v>19</v>
      </c>
      <c r="C92" s="33"/>
      <c r="D92" s="34"/>
      <c r="E92" s="35"/>
      <c r="F92" s="35"/>
      <c r="G92" s="35"/>
      <c r="H92" s="35"/>
      <c r="I92" s="35"/>
      <c r="J92" s="35"/>
      <c r="K92" s="33"/>
      <c r="L92" s="36" t="s">
        <v>21</v>
      </c>
      <c r="M92" s="37"/>
      <c r="N92" s="38"/>
      <c r="O92" s="39" t="s">
        <v>22</v>
      </c>
      <c r="P92" s="40"/>
      <c r="Q92" s="17"/>
      <c r="R92" s="41"/>
      <c r="S92" s="2"/>
      <c r="T92" s="2"/>
      <c r="U92" s="42" t="s">
        <v>23</v>
      </c>
      <c r="V92" s="43"/>
      <c r="W92" s="43"/>
      <c r="X92" s="43"/>
      <c r="Y92" s="43"/>
      <c r="Z92" s="44"/>
      <c r="AA92" s="45"/>
      <c r="AB92" s="43"/>
      <c r="AC92" s="43"/>
      <c r="AD92" s="44"/>
      <c r="AE92" s="2"/>
      <c r="AF92" s="2"/>
      <c r="AG92" s="3" t="str">
        <f>AA92</f>
        <v/>
      </c>
      <c r="AH92" s="3" t="s">
        <v>24</v>
      </c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</row>
    <row r="93" ht="48.0" customHeight="1">
      <c r="A93" s="2"/>
      <c r="B93" s="46" t="s">
        <v>25</v>
      </c>
      <c r="C93" s="47"/>
      <c r="D93" s="48" t="s">
        <v>26</v>
      </c>
      <c r="E93" s="49"/>
      <c r="F93" s="50"/>
      <c r="G93" s="51" t="s">
        <v>27</v>
      </c>
      <c r="H93" s="49"/>
      <c r="I93" s="49"/>
      <c r="J93" s="48" t="s">
        <v>28</v>
      </c>
      <c r="K93" s="49"/>
      <c r="L93" s="50"/>
      <c r="M93" s="51" t="s">
        <v>29</v>
      </c>
      <c r="N93" s="49"/>
      <c r="O93" s="49"/>
      <c r="P93" s="52" t="s">
        <v>30</v>
      </c>
      <c r="Q93" s="12"/>
      <c r="R93" s="11"/>
      <c r="S93" s="2"/>
      <c r="T93" s="2"/>
      <c r="U93" s="53"/>
      <c r="Z93" s="54"/>
      <c r="AA93" s="53"/>
      <c r="AD93" s="54"/>
      <c r="AE93" s="2"/>
      <c r="AF93" s="2"/>
      <c r="AG93" s="3" t="str">
        <f>AA96</f>
        <v/>
      </c>
      <c r="AH93" s="3" t="s">
        <v>31</v>
      </c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</row>
    <row r="94" ht="48.0" customHeight="1">
      <c r="A94" s="55" t="s">
        <v>80</v>
      </c>
      <c r="B94" s="56" t="s">
        <v>33</v>
      </c>
      <c r="C94" s="57" t="s">
        <v>34</v>
      </c>
      <c r="D94" s="61" t="s">
        <v>35</v>
      </c>
      <c r="E94" s="59" t="s">
        <v>36</v>
      </c>
      <c r="F94" s="60" t="s">
        <v>37</v>
      </c>
      <c r="G94" s="61" t="s">
        <v>35</v>
      </c>
      <c r="H94" s="62" t="s">
        <v>36</v>
      </c>
      <c r="I94" s="62" t="s">
        <v>37</v>
      </c>
      <c r="J94" s="63" t="s">
        <v>35</v>
      </c>
      <c r="K94" s="62" t="s">
        <v>36</v>
      </c>
      <c r="L94" s="60" t="s">
        <v>37</v>
      </c>
      <c r="M94" s="61" t="s">
        <v>35</v>
      </c>
      <c r="N94" s="62" t="s">
        <v>36</v>
      </c>
      <c r="O94" s="62" t="s">
        <v>37</v>
      </c>
      <c r="P94" s="63" t="s">
        <v>35</v>
      </c>
      <c r="Q94" s="62" t="s">
        <v>36</v>
      </c>
      <c r="R94" s="64" t="s">
        <v>37</v>
      </c>
      <c r="S94" s="65" t="s">
        <v>38</v>
      </c>
      <c r="T94" s="2"/>
      <c r="U94" s="66"/>
      <c r="V94" s="67"/>
      <c r="W94" s="67"/>
      <c r="X94" s="67"/>
      <c r="Y94" s="67"/>
      <c r="Z94" s="68"/>
      <c r="AA94" s="66"/>
      <c r="AB94" s="67"/>
      <c r="AC94" s="67"/>
      <c r="AD94" s="68"/>
      <c r="AE94" s="2"/>
      <c r="AF94" s="2"/>
      <c r="AG94" s="3"/>
      <c r="AH94" s="3" t="s">
        <v>39</v>
      </c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</row>
    <row r="95" ht="48.0" customHeight="1">
      <c r="A95" s="69"/>
      <c r="B95" s="70">
        <v>1.0</v>
      </c>
      <c r="C95" s="71"/>
      <c r="D95" s="101"/>
      <c r="E95" s="101"/>
      <c r="F95" s="101"/>
      <c r="G95" s="101"/>
      <c r="H95" s="101"/>
      <c r="I95" s="101"/>
      <c r="J95" s="101"/>
      <c r="K95" s="101"/>
      <c r="L95" s="101"/>
      <c r="M95" s="74"/>
      <c r="N95" s="74"/>
      <c r="O95" s="74"/>
      <c r="P95" s="74"/>
      <c r="Q95" s="74"/>
      <c r="R95" s="74"/>
      <c r="S95" s="75">
        <f t="shared" ref="S95:S105" si="12">SUM(D95*E95)+(G95*H95)+(J95*K95)+(M95*N95)+(P95*Q95)</f>
        <v>0</v>
      </c>
      <c r="T95" s="2"/>
      <c r="U95" s="76">
        <v>1.0</v>
      </c>
      <c r="V95" s="77">
        <v>2.0</v>
      </c>
      <c r="W95" s="78">
        <v>3.0</v>
      </c>
      <c r="X95" s="79">
        <v>4.0</v>
      </c>
      <c r="Y95" s="80">
        <v>5.0</v>
      </c>
      <c r="Z95" s="81">
        <v>6.0</v>
      </c>
      <c r="AA95" s="82">
        <v>7.0</v>
      </c>
      <c r="AB95" s="83">
        <v>8.0</v>
      </c>
      <c r="AC95" s="84">
        <v>9.0</v>
      </c>
      <c r="AD95" s="85">
        <v>10.0</v>
      </c>
      <c r="AE95" s="2"/>
      <c r="AF95" s="2"/>
      <c r="AG95" s="3"/>
      <c r="AH95" s="3">
        <f t="shared" ref="AH95:AH105" si="13">MAX(Q95,N95,K95,H95,E95)</f>
        <v>0</v>
      </c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</row>
    <row r="96" ht="48.0" customHeight="1">
      <c r="A96" s="69"/>
      <c r="B96" s="86">
        <v>2.0</v>
      </c>
      <c r="C96" s="87"/>
      <c r="D96" s="100"/>
      <c r="E96" s="100"/>
      <c r="F96" s="100"/>
      <c r="G96" s="100"/>
      <c r="H96" s="100"/>
      <c r="I96" s="100"/>
      <c r="J96" s="90"/>
      <c r="K96" s="90"/>
      <c r="L96" s="90"/>
      <c r="M96" s="90"/>
      <c r="N96" s="90"/>
      <c r="O96" s="90"/>
      <c r="P96" s="90"/>
      <c r="Q96" s="90"/>
      <c r="R96" s="90"/>
      <c r="S96" s="91">
        <f t="shared" si="12"/>
        <v>0</v>
      </c>
      <c r="T96" s="2"/>
      <c r="U96" s="92" t="s">
        <v>42</v>
      </c>
      <c r="V96" s="43"/>
      <c r="W96" s="43"/>
      <c r="X96" s="43"/>
      <c r="Y96" s="43"/>
      <c r="Z96" s="44"/>
      <c r="AA96" s="93"/>
      <c r="AB96" s="43"/>
      <c r="AC96" s="43"/>
      <c r="AD96" s="44"/>
      <c r="AE96" s="2"/>
      <c r="AF96" s="2"/>
      <c r="AG96" s="3"/>
      <c r="AH96" s="3">
        <f t="shared" si="13"/>
        <v>0</v>
      </c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</row>
    <row r="97" ht="48.0" customHeight="1">
      <c r="A97" s="69"/>
      <c r="B97" s="94">
        <v>3.0</v>
      </c>
      <c r="C97" s="71"/>
      <c r="D97" s="101"/>
      <c r="E97" s="101"/>
      <c r="F97" s="101"/>
      <c r="G97" s="101"/>
      <c r="H97" s="101"/>
      <c r="I97" s="101"/>
      <c r="J97" s="101"/>
      <c r="K97" s="101"/>
      <c r="L97" s="101"/>
      <c r="M97" s="74"/>
      <c r="N97" s="74"/>
      <c r="O97" s="74"/>
      <c r="P97" s="74"/>
      <c r="Q97" s="74"/>
      <c r="R97" s="74"/>
      <c r="S97" s="75">
        <f t="shared" si="12"/>
        <v>0</v>
      </c>
      <c r="T97" s="2"/>
      <c r="U97" s="53"/>
      <c r="Z97" s="54"/>
      <c r="AA97" s="53"/>
      <c r="AD97" s="54"/>
      <c r="AE97" s="2"/>
      <c r="AF97" s="2"/>
      <c r="AG97" s="3"/>
      <c r="AH97" s="3">
        <f t="shared" si="13"/>
        <v>0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</row>
    <row r="98" ht="48.0" customHeight="1">
      <c r="A98" s="69"/>
      <c r="B98" s="86">
        <v>4.0</v>
      </c>
      <c r="C98" s="87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1">
        <f t="shared" si="12"/>
        <v>0</v>
      </c>
      <c r="T98" s="2"/>
      <c r="U98" s="66"/>
      <c r="V98" s="67"/>
      <c r="W98" s="67"/>
      <c r="X98" s="67"/>
      <c r="Y98" s="67"/>
      <c r="Z98" s="68"/>
      <c r="AA98" s="66"/>
      <c r="AB98" s="67"/>
      <c r="AC98" s="67"/>
      <c r="AD98" s="68"/>
      <c r="AE98" s="2"/>
      <c r="AF98" s="2"/>
      <c r="AG98" s="3"/>
      <c r="AH98" s="3">
        <f t="shared" si="13"/>
        <v>0</v>
      </c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</row>
    <row r="99" ht="48.0" customHeight="1">
      <c r="A99" s="69"/>
      <c r="B99" s="94">
        <v>5.0</v>
      </c>
      <c r="C99" s="71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5">
        <f t="shared" si="12"/>
        <v>0</v>
      </c>
      <c r="T99" s="2"/>
      <c r="U99" s="95">
        <v>1.0</v>
      </c>
      <c r="V99" s="96">
        <v>2.0</v>
      </c>
      <c r="W99" s="97">
        <v>3.0</v>
      </c>
      <c r="X99" s="98">
        <v>4.0</v>
      </c>
      <c r="Y99" s="81">
        <v>5.0</v>
      </c>
      <c r="Z99" s="80">
        <v>6.0</v>
      </c>
      <c r="AA99" s="79">
        <v>7.0</v>
      </c>
      <c r="AB99" s="78">
        <v>8.0</v>
      </c>
      <c r="AC99" s="77">
        <v>9.0</v>
      </c>
      <c r="AD99" s="99">
        <v>10.0</v>
      </c>
      <c r="AE99" s="2"/>
      <c r="AF99" s="2"/>
      <c r="AG99" s="3"/>
      <c r="AH99" s="3">
        <f t="shared" si="13"/>
        <v>0</v>
      </c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</row>
    <row r="100" ht="48.0" customHeight="1">
      <c r="A100" s="69"/>
      <c r="B100" s="86">
        <v>6.0</v>
      </c>
      <c r="C100" s="87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1">
        <f t="shared" si="12"/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3"/>
      <c r="AH100" s="3">
        <f t="shared" si="13"/>
        <v>0</v>
      </c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</row>
    <row r="101" ht="48.0" customHeight="1">
      <c r="A101" s="69"/>
      <c r="B101" s="94">
        <v>7.0</v>
      </c>
      <c r="C101" s="71"/>
      <c r="D101" s="101"/>
      <c r="E101" s="101"/>
      <c r="F101" s="101"/>
      <c r="G101" s="101"/>
      <c r="H101" s="101"/>
      <c r="I101" s="101"/>
      <c r="J101" s="101"/>
      <c r="K101" s="101"/>
      <c r="L101" s="101"/>
      <c r="M101" s="74"/>
      <c r="N101" s="74"/>
      <c r="O101" s="74"/>
      <c r="P101" s="74"/>
      <c r="Q101" s="74"/>
      <c r="R101" s="74"/>
      <c r="S101" s="75">
        <f t="shared" si="12"/>
        <v>0</v>
      </c>
      <c r="T101" s="2"/>
      <c r="U101" s="102" t="s">
        <v>47</v>
      </c>
      <c r="V101" s="35"/>
      <c r="W101" s="35"/>
      <c r="X101" s="35"/>
      <c r="Y101" s="35"/>
      <c r="Z101" s="35"/>
      <c r="AA101" s="35"/>
      <c r="AB101" s="35"/>
      <c r="AC101" s="35"/>
      <c r="AD101" s="33"/>
      <c r="AE101" s="2"/>
      <c r="AF101" s="2"/>
      <c r="AG101" s="3"/>
      <c r="AH101" s="3">
        <f t="shared" si="13"/>
        <v>0</v>
      </c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</row>
    <row r="102" ht="48.0" customHeight="1">
      <c r="A102" s="69"/>
      <c r="B102" s="86">
        <v>8.0</v>
      </c>
      <c r="C102" s="107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1">
        <f t="shared" si="12"/>
        <v>0</v>
      </c>
      <c r="T102" s="2"/>
      <c r="U102" s="103"/>
      <c r="V102" s="8"/>
      <c r="W102" s="8"/>
      <c r="X102" s="8"/>
      <c r="Y102" s="8"/>
      <c r="Z102" s="8"/>
      <c r="AA102" s="8"/>
      <c r="AB102" s="8"/>
      <c r="AC102" s="8"/>
      <c r="AD102" s="6"/>
      <c r="AE102" s="2"/>
      <c r="AF102" s="2"/>
      <c r="AG102" s="3"/>
      <c r="AH102" s="3">
        <f t="shared" si="13"/>
        <v>0</v>
      </c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</row>
    <row r="103" ht="48.0" customHeight="1">
      <c r="A103" s="69"/>
      <c r="B103" s="94">
        <v>9.0</v>
      </c>
      <c r="C103" s="109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5">
        <f t="shared" si="12"/>
        <v>0</v>
      </c>
      <c r="T103" s="2"/>
      <c r="U103" s="105"/>
      <c r="AD103" s="106"/>
      <c r="AE103" s="2"/>
      <c r="AF103" s="2"/>
      <c r="AG103" s="3"/>
      <c r="AH103" s="3">
        <f t="shared" si="13"/>
        <v>0</v>
      </c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</row>
    <row r="104" ht="48.0" customHeight="1">
      <c r="A104" s="69"/>
      <c r="B104" s="86">
        <v>10.0</v>
      </c>
      <c r="C104" s="107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1">
        <f t="shared" si="12"/>
        <v>0</v>
      </c>
      <c r="T104" s="2"/>
      <c r="U104" s="105"/>
      <c r="AD104" s="106"/>
      <c r="AE104" s="2"/>
      <c r="AF104" s="2"/>
      <c r="AG104" s="3"/>
      <c r="AH104" s="3">
        <f t="shared" si="13"/>
        <v>0</v>
      </c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</row>
    <row r="105" ht="48.0" customHeight="1">
      <c r="A105" s="9"/>
      <c r="B105" s="108">
        <v>11.0</v>
      </c>
      <c r="C105" s="109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5">
        <f t="shared" si="12"/>
        <v>0</v>
      </c>
      <c r="T105" s="2"/>
      <c r="U105" s="10"/>
      <c r="V105" s="12"/>
      <c r="W105" s="12"/>
      <c r="X105" s="12"/>
      <c r="Y105" s="12"/>
      <c r="Z105" s="12"/>
      <c r="AA105" s="12"/>
      <c r="AB105" s="12"/>
      <c r="AC105" s="12"/>
      <c r="AD105" s="11"/>
      <c r="AE105" s="2"/>
      <c r="AF105" s="2"/>
      <c r="AG105" s="3"/>
      <c r="AH105" s="3">
        <f t="shared" si="13"/>
        <v>0</v>
      </c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</row>
    <row r="106" ht="45.0" customHeight="1">
      <c r="A106" s="2"/>
      <c r="B106" s="2"/>
      <c r="C106" s="2"/>
      <c r="D106" s="2"/>
      <c r="E106" s="2"/>
      <c r="F106" s="2"/>
      <c r="G106" s="2"/>
      <c r="H106" s="2"/>
      <c r="I106" s="3" t="s">
        <v>3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</row>
    <row r="107" ht="4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2"/>
      <c r="BG107" s="2"/>
      <c r="BH107" s="2"/>
      <c r="BI107" s="2"/>
      <c r="BJ107" s="2"/>
      <c r="BK107" s="2"/>
      <c r="BL107" s="2"/>
      <c r="BM107" s="2"/>
    </row>
    <row r="108" ht="4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2"/>
      <c r="BG108" s="2"/>
      <c r="BH108" s="2"/>
      <c r="BI108" s="2"/>
      <c r="BJ108" s="2"/>
      <c r="BK108" s="2"/>
      <c r="BL108" s="2"/>
      <c r="BM108" s="2"/>
    </row>
    <row r="109" ht="4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2"/>
      <c r="BG109" s="2"/>
      <c r="BH109" s="2"/>
      <c r="BI109" s="2"/>
      <c r="BJ109" s="2"/>
      <c r="BK109" s="2"/>
      <c r="BL109" s="2"/>
      <c r="BM109" s="2"/>
    </row>
    <row r="110" ht="4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</row>
    <row r="111" ht="4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</row>
    <row r="112" ht="4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</row>
    <row r="113" ht="4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</row>
    <row r="114" ht="4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</row>
    <row r="115" ht="4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</row>
    <row r="116" ht="48.0" customHeight="1">
      <c r="A116" s="2"/>
      <c r="B116" s="121"/>
      <c r="C116" s="12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</row>
    <row r="117" ht="48.0" customHeight="1">
      <c r="A117" s="2"/>
      <c r="B117" s="121"/>
      <c r="C117" s="12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</row>
    <row r="118" ht="48.0" customHeight="1">
      <c r="A118" s="2"/>
      <c r="B118" s="121"/>
      <c r="C118" s="12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</row>
    <row r="119" ht="48.0" customHeight="1">
      <c r="A119" s="2"/>
      <c r="B119" s="121"/>
      <c r="C119" s="12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</row>
    <row r="120" ht="48.0" customHeight="1">
      <c r="A120" s="2"/>
      <c r="B120" s="121"/>
      <c r="C120" s="12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</row>
    <row r="121" ht="4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</row>
    <row r="122" ht="4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</row>
    <row r="123" ht="4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</row>
    <row r="124" ht="4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</row>
    <row r="125" ht="4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</row>
    <row r="126" ht="4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</row>
    <row r="127" ht="4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</row>
    <row r="128" ht="4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</row>
    <row r="129" ht="4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ht="4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ht="4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s">
        <v>3</v>
      </c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J5:K5"/>
    <mergeCell ref="L5:M5"/>
    <mergeCell ref="J6:K6"/>
    <mergeCell ref="L6:M6"/>
    <mergeCell ref="J7:K7"/>
    <mergeCell ref="L7:M7"/>
    <mergeCell ref="C2:C3"/>
    <mergeCell ref="D2:E3"/>
    <mergeCell ref="G2:J3"/>
    <mergeCell ref="K2:L3"/>
    <mergeCell ref="T4:W5"/>
    <mergeCell ref="X4:Y5"/>
    <mergeCell ref="D5:E5"/>
    <mergeCell ref="N7:O7"/>
    <mergeCell ref="P7:Q7"/>
    <mergeCell ref="F5:G5"/>
    <mergeCell ref="H5:I5"/>
    <mergeCell ref="D6:E6"/>
    <mergeCell ref="F6:G6"/>
    <mergeCell ref="H6:I6"/>
    <mergeCell ref="F7:G7"/>
    <mergeCell ref="H7:I7"/>
    <mergeCell ref="N8:O8"/>
    <mergeCell ref="P8:Q8"/>
    <mergeCell ref="N9:O9"/>
    <mergeCell ref="P9:Q9"/>
    <mergeCell ref="T9:W10"/>
    <mergeCell ref="X9:Y10"/>
    <mergeCell ref="N10:O10"/>
    <mergeCell ref="P10:Q10"/>
    <mergeCell ref="N5:O5"/>
    <mergeCell ref="P5:Q5"/>
    <mergeCell ref="N6:O6"/>
    <mergeCell ref="P6:Q6"/>
    <mergeCell ref="T6:W7"/>
    <mergeCell ref="X6:Y7"/>
    <mergeCell ref="AA6:AD8"/>
    <mergeCell ref="F9:G9"/>
    <mergeCell ref="H9:I9"/>
    <mergeCell ref="D10:E10"/>
    <mergeCell ref="F10:G10"/>
    <mergeCell ref="H10:I10"/>
    <mergeCell ref="J10:K10"/>
    <mergeCell ref="L10:M10"/>
    <mergeCell ref="D33:F33"/>
    <mergeCell ref="G33:I33"/>
    <mergeCell ref="J33:L33"/>
    <mergeCell ref="A34:A45"/>
    <mergeCell ref="B47:C47"/>
    <mergeCell ref="L47:N47"/>
    <mergeCell ref="O47:Q47"/>
    <mergeCell ref="D62:K62"/>
    <mergeCell ref="L62:N62"/>
    <mergeCell ref="O62:Q62"/>
    <mergeCell ref="D47:K47"/>
    <mergeCell ref="D48:F48"/>
    <mergeCell ref="G48:I48"/>
    <mergeCell ref="J48:L48"/>
    <mergeCell ref="M48:O48"/>
    <mergeCell ref="A49:A60"/>
    <mergeCell ref="B62:C62"/>
    <mergeCell ref="D92:K92"/>
    <mergeCell ref="L92:N92"/>
    <mergeCell ref="A94:A105"/>
    <mergeCell ref="A64:A75"/>
    <mergeCell ref="B77:C77"/>
    <mergeCell ref="D77:K77"/>
    <mergeCell ref="L77:N77"/>
    <mergeCell ref="O77:Q77"/>
    <mergeCell ref="A79:A90"/>
    <mergeCell ref="B92:C92"/>
    <mergeCell ref="O92:Q92"/>
    <mergeCell ref="U51:Z53"/>
    <mergeCell ref="U56:AD56"/>
    <mergeCell ref="U57:AD60"/>
    <mergeCell ref="U62:Z64"/>
    <mergeCell ref="AA62:AD64"/>
    <mergeCell ref="D63:F63"/>
    <mergeCell ref="G63:I63"/>
    <mergeCell ref="P63:R63"/>
    <mergeCell ref="U77:Z79"/>
    <mergeCell ref="D78:F78"/>
    <mergeCell ref="G78:I78"/>
    <mergeCell ref="J78:L78"/>
    <mergeCell ref="M78:O78"/>
    <mergeCell ref="P78:R78"/>
    <mergeCell ref="J63:L63"/>
    <mergeCell ref="M63:O63"/>
    <mergeCell ref="U66:Z68"/>
    <mergeCell ref="AA66:AD68"/>
    <mergeCell ref="U71:AD71"/>
    <mergeCell ref="U72:AD75"/>
    <mergeCell ref="AA77:AD79"/>
    <mergeCell ref="G93:I93"/>
    <mergeCell ref="J93:L93"/>
    <mergeCell ref="M93:O93"/>
    <mergeCell ref="P93:R93"/>
    <mergeCell ref="U96:Z98"/>
    <mergeCell ref="AA96:AD98"/>
    <mergeCell ref="U101:AD101"/>
    <mergeCell ref="U102:AD105"/>
    <mergeCell ref="U81:Z83"/>
    <mergeCell ref="AA81:AD83"/>
    <mergeCell ref="U86:AD86"/>
    <mergeCell ref="U87:AD90"/>
    <mergeCell ref="U92:Z94"/>
    <mergeCell ref="AA92:AD94"/>
    <mergeCell ref="D93:F93"/>
    <mergeCell ref="J9:K9"/>
    <mergeCell ref="L9:M9"/>
    <mergeCell ref="D7:E7"/>
    <mergeCell ref="D8:E8"/>
    <mergeCell ref="F8:G8"/>
    <mergeCell ref="H8:I8"/>
    <mergeCell ref="J8:K8"/>
    <mergeCell ref="L8:M8"/>
    <mergeCell ref="D9:E9"/>
    <mergeCell ref="O17:Q17"/>
    <mergeCell ref="U17:Z19"/>
    <mergeCell ref="AA17:AD19"/>
    <mergeCell ref="P18:R18"/>
    <mergeCell ref="U21:Z23"/>
    <mergeCell ref="AA21:AD23"/>
    <mergeCell ref="U26:AD26"/>
    <mergeCell ref="U27:AD30"/>
    <mergeCell ref="B12:C12"/>
    <mergeCell ref="B13:C13"/>
    <mergeCell ref="B14:C14"/>
    <mergeCell ref="B15:C15"/>
    <mergeCell ref="B17:C17"/>
    <mergeCell ref="D17:K17"/>
    <mergeCell ref="L17:N17"/>
    <mergeCell ref="D18:F18"/>
    <mergeCell ref="G18:I18"/>
    <mergeCell ref="J18:L18"/>
    <mergeCell ref="M18:O18"/>
    <mergeCell ref="A19:A30"/>
    <mergeCell ref="B32:C32"/>
    <mergeCell ref="D32:K32"/>
    <mergeCell ref="L32:N32"/>
    <mergeCell ref="O32:Q32"/>
    <mergeCell ref="U32:Z34"/>
    <mergeCell ref="AA32:AD34"/>
    <mergeCell ref="M33:O33"/>
    <mergeCell ref="P33:R33"/>
    <mergeCell ref="AA36:AD38"/>
    <mergeCell ref="U36:Z38"/>
    <mergeCell ref="U41:AD41"/>
    <mergeCell ref="U42:AD45"/>
    <mergeCell ref="U47:Z49"/>
    <mergeCell ref="AA47:AD49"/>
    <mergeCell ref="P48:R48"/>
    <mergeCell ref="AA51:AD53"/>
  </mergeCells>
  <dataValidations>
    <dataValidation type="list" allowBlank="1" showErrorMessage="1" sqref="X9">
      <formula1>DATA!$A$20:$A$21</formula1>
    </dataValidation>
    <dataValidation type="list" allowBlank="1" showErrorMessage="1" sqref="O17 O32 O47 O62 O77 O92">
      <formula1>#REF!</formula1>
    </dataValidation>
    <dataValidation type="list" allowBlank="1" showErrorMessage="1" sqref="D6:D10 F6:F10 H6:H10 J6:J10 L6:L10 N6:N10 P6:P10 AA17 AA21 AA32 AA36 AA47 AA51 AA62 AA66 AA77 AA81 AA92 AA96">
      <formula1>"1,2,3,4,5,6,7,8,9,10"</formula1>
    </dataValidation>
  </dataValidations>
  <printOptions/>
  <pageMargins bottom="0.75" footer="0.0" header="0.0" left="0.7" right="0.7" top="0.75"/>
  <pageSetup fitToHeight="0" paperSize="9" orientation="portrait"/>
  <drawing r:id="rId1"/>
</worksheet>
</file>