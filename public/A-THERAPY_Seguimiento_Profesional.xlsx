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GISTRO SEMANAL" sheetId="2" state="visible" r:id="rId2"/>
    <sheet xmlns:r="http://schemas.openxmlformats.org/officeDocument/2006/relationships" name="EVOLUCIÓN" sheetId="3" state="visible" r:id="rId3"/>
    <sheet xmlns:r="http://schemas.openxmlformats.org/officeDocument/2006/relationships" name="LISTAS"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
  </numFmts>
  <fonts count="24">
    <font>
      <name val="Calibri"/>
      <family val="2"/>
      <color theme="1"/>
      <sz val="11"/>
      <scheme val="minor"/>
    </font>
    <font>
      <name val="Noto Sans CJK SC"/>
      <b val="1"/>
      <color rgb="00FFFFFF"/>
      <sz val="20"/>
    </font>
    <font>
      <name val="Noto Sans CJK SC"/>
      <color rgb="00999999"/>
      <sz val="10"/>
    </font>
    <font>
      <name val="Noto Sans CJK SC"/>
      <b val="1"/>
      <color rgb="002D4A3E"/>
      <sz val="11"/>
    </font>
    <font>
      <name val="Noto Sans CJK SC"/>
      <b val="1"/>
      <color rgb="007A9B8C"/>
      <sz val="9"/>
    </font>
    <font>
      <name val="Noto Sans CJK SC"/>
      <color rgb="003B5249"/>
      <sz val="10"/>
    </font>
    <font>
      <name val="Noto Sans CJK SC"/>
      <color rgb="002D4A3E"/>
      <sz val="22"/>
    </font>
    <font>
      <name val="Noto Sans CJK SC"/>
      <color rgb="007A9B8C"/>
      <sz val="9"/>
    </font>
    <font>
      <name val="Noto Sans CJK SC"/>
      <i val="1"/>
      <color rgb="007A9B8C"/>
      <sz val="8"/>
    </font>
    <font>
      <name val="Noto Sans CJK SC"/>
      <color rgb="00FFFFFF"/>
      <sz val="9"/>
    </font>
    <font>
      <name val="Noto Sans CJK SC"/>
      <b val="1"/>
      <color rgb="003B5249"/>
      <sz val="9"/>
    </font>
    <font>
      <name val="Noto Sans CJK SC"/>
      <b val="1"/>
      <color rgb="003B5249"/>
      <sz val="10"/>
    </font>
    <font>
      <name val="Noto Sans CJK SC"/>
      <b val="1"/>
      <color rgb="002D4A3E"/>
      <sz val="10"/>
    </font>
    <font>
      <name val="Noto Sans CJK SC"/>
      <b val="1"/>
      <color rgb="007A9B8C"/>
      <sz val="8"/>
    </font>
    <font>
      <name val="Noto Sans CJK SC"/>
      <color rgb="003B5249"/>
      <sz val="9"/>
    </font>
    <font>
      <name val="Noto Sans CJK SC"/>
      <b val="1"/>
      <color rgb="00FFFFFF"/>
      <sz val="11"/>
    </font>
    <font>
      <name val="Noto Sans CJK SC"/>
      <b val="1"/>
      <color rgb="00FFFFFF"/>
      <sz val="9"/>
    </font>
    <font>
      <name val="Noto Sans CJK SC"/>
      <color rgb="00FFFFFF"/>
      <sz val="8"/>
    </font>
    <font>
      <name val="Noto Sans CJK SC"/>
      <color rgb="00FFFFFF"/>
      <sz val="7"/>
    </font>
    <font>
      <name val="Noto Sans CJK SC"/>
      <color rgb="003B5249"/>
      <sz val="7"/>
    </font>
    <font>
      <name val="Noto Sans CJK SC"/>
      <color rgb="002D4A3E"/>
      <sz val="7"/>
    </font>
    <font>
      <name val="Noto Sans CJK SC"/>
      <color rgb="007A9B8C"/>
      <sz val="8"/>
    </font>
    <font>
      <name val="Noto Sans CJK SC"/>
      <color rgb="003B5249"/>
      <sz val="8"/>
    </font>
    <font>
      <name val="Noto Sans CJK SC"/>
      <b val="1"/>
      <color rgb="002D4A3E"/>
      <sz val="9"/>
    </font>
  </fonts>
  <fills count="12">
    <fill>
      <patternFill/>
    </fill>
    <fill>
      <patternFill patternType="gray125"/>
    </fill>
    <fill>
      <patternFill patternType="solid">
        <fgColor rgb="001A1A2E"/>
      </patternFill>
    </fill>
    <fill>
      <patternFill patternType="solid">
        <fgColor rgb="00FFFFFF"/>
      </patternFill>
    </fill>
    <fill>
      <patternFill patternType="solid">
        <fgColor rgb="00FAFBFC"/>
      </patternFill>
    </fill>
    <fill>
      <patternFill patternType="solid">
        <fgColor rgb="00F5F8F6"/>
      </patternFill>
    </fill>
    <fill>
      <patternFill patternType="solid">
        <fgColor rgb="002D4A3E"/>
      </patternFill>
    </fill>
    <fill>
      <patternFill patternType="solid">
        <fgColor rgb="00F6FAF8"/>
      </patternFill>
    </fill>
    <fill>
      <patternFill patternType="solid">
        <fgColor rgb="00FEF9E7"/>
      </patternFill>
    </fill>
    <fill>
      <patternFill patternType="solid">
        <fgColor rgb="00F0F5F2"/>
      </patternFill>
    </fill>
    <fill>
      <patternFill patternType="solid">
        <fgColor rgb="00E8F0EB"/>
      </patternFill>
    </fill>
    <fill>
      <patternFill patternType="solid">
        <fgColor rgb="007A9B8C"/>
      </patternFill>
    </fill>
  </fills>
  <borders count="3">
    <border>
      <left/>
      <right/>
      <top/>
      <bottom/>
      <diagonal/>
    </border>
    <border>
      <bottom style="thin">
        <color rgb="002D4A3E"/>
      </bottom>
    </border>
    <border/>
  </borders>
  <cellStyleXfs count="1">
    <xf numFmtId="0" fontId="0" fillId="0" borderId="0"/>
  </cellStyleXfs>
  <cellXfs count="80">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wrapText="1"/>
    </xf>
    <xf numFmtId="0" fontId="4" fillId="4" borderId="0" applyAlignment="1" pivotButton="0" quotePrefix="0" xfId="0">
      <alignment horizontal="right" vertical="center"/>
    </xf>
    <xf numFmtId="0" fontId="5" fillId="4" borderId="1" applyAlignment="1" pivotButton="0" quotePrefix="0" xfId="0">
      <alignment horizontal="left" vertical="center" wrapText="1"/>
    </xf>
    <xf numFmtId="0" fontId="6" fillId="5" borderId="0" applyAlignment="1" pivotButton="0" quotePrefix="0" xfId="0">
      <alignment horizontal="center" vertical="center" wrapText="1"/>
    </xf>
    <xf numFmtId="0" fontId="0" fillId="5" borderId="0" pivotButton="0" quotePrefix="0" xfId="0"/>
    <xf numFmtId="0" fontId="7" fillId="5" borderId="0" applyAlignment="1" pivotButton="0" quotePrefix="0" xfId="0">
      <alignment horizontal="center" vertical="center" wrapText="1"/>
    </xf>
    <xf numFmtId="0" fontId="8" fillId="5"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3" borderId="0" applyAlignment="1" pivotButton="0" quotePrefix="0" xfId="0">
      <alignment horizontal="left" vertical="center" wrapText="1"/>
    </xf>
    <xf numFmtId="0" fontId="5" fillId="3" borderId="0" applyAlignment="1" pivotButton="0" quotePrefix="0" xfId="0">
      <alignment horizontal="center" vertical="center" wrapText="1"/>
    </xf>
    <xf numFmtId="0" fontId="10" fillId="7" borderId="0" applyAlignment="1" pivotButton="0" quotePrefix="0" xfId="0">
      <alignment horizontal="left" vertical="center" wrapText="1"/>
    </xf>
    <xf numFmtId="0" fontId="5" fillId="7" borderId="0" applyAlignment="1" pivotButton="0" quotePrefix="0" xfId="0">
      <alignment horizontal="center" vertical="center" wrapText="1"/>
    </xf>
    <xf numFmtId="0" fontId="11" fillId="3" borderId="0" applyAlignment="1" pivotButton="0" quotePrefix="0" xfId="0">
      <alignment horizontal="center" vertical="center" wrapText="1"/>
    </xf>
    <xf numFmtId="0" fontId="5" fillId="3" borderId="0" applyAlignment="1" pivotButton="0" quotePrefix="0" xfId="0">
      <alignment horizontal="right" vertical="center"/>
    </xf>
    <xf numFmtId="0" fontId="11" fillId="7" borderId="0" applyAlignment="1" pivotButton="0" quotePrefix="0" xfId="0">
      <alignment horizontal="center" vertical="center" wrapText="1"/>
    </xf>
    <xf numFmtId="0" fontId="5" fillId="7" borderId="0" applyAlignment="1" pivotButton="0" quotePrefix="0" xfId="0">
      <alignment horizontal="right" vertical="center"/>
    </xf>
    <xf numFmtId="0" fontId="11" fillId="8" borderId="0" applyAlignment="1" pivotButton="0" quotePrefix="0" xfId="0">
      <alignment horizontal="center" vertical="center" wrapText="1"/>
    </xf>
    <xf numFmtId="0" fontId="5" fillId="4" borderId="1" applyAlignment="1" pivotButton="0" quotePrefix="0" xfId="0">
      <alignment horizontal="left" vertical="top" wrapText="1"/>
    </xf>
    <xf numFmtId="0" fontId="0" fillId="4" borderId="1" pivotButton="0" quotePrefix="0" xfId="0"/>
    <xf numFmtId="0" fontId="8" fillId="3" borderId="0" applyAlignment="1" pivotButton="0" quotePrefix="0" xfId="0">
      <alignment horizontal="left" vertical="center" wrapText="1"/>
    </xf>
    <xf numFmtId="0" fontId="0" fillId="9" borderId="0" pivotButton="0" quotePrefix="0" xfId="0"/>
    <xf numFmtId="0" fontId="4" fillId="9" borderId="0" applyAlignment="1" pivotButton="0" quotePrefix="0" xfId="0">
      <alignment horizontal="right" vertical="center"/>
    </xf>
    <xf numFmtId="0" fontId="12" fillId="9" borderId="1" applyAlignment="1" pivotButton="0" quotePrefix="0" xfId="0">
      <alignment horizontal="center" vertical="center" wrapText="1"/>
    </xf>
    <xf numFmtId="0" fontId="12" fillId="9" borderId="0" applyAlignment="1" pivotButton="0" quotePrefix="0" xfId="0">
      <alignment horizontal="center" vertical="center" wrapText="1"/>
    </xf>
    <xf numFmtId="0" fontId="13" fillId="3" borderId="0" applyAlignment="1" pivotButton="0" quotePrefix="0" xfId="0">
      <alignment horizontal="left" vertical="center" wrapText="1"/>
    </xf>
    <xf numFmtId="0" fontId="14" fillId="4" borderId="1" applyAlignment="1" pivotButton="0" quotePrefix="0" xfId="0">
      <alignment horizontal="center" vertical="center" wrapText="1"/>
    </xf>
    <xf numFmtId="0" fontId="0" fillId="6" borderId="0" pivotButton="0" quotePrefix="0" xfId="0"/>
    <xf numFmtId="0" fontId="15" fillId="6" borderId="0" applyAlignment="1" pivotButton="0" quotePrefix="0" xfId="0">
      <alignment horizontal="left" vertical="center" wrapText="1"/>
    </xf>
    <xf numFmtId="0" fontId="16" fillId="6" borderId="0" applyAlignment="1" pivotButton="0" quotePrefix="0" xfId="0">
      <alignment horizontal="right" vertical="center"/>
    </xf>
    <xf numFmtId="0" fontId="16" fillId="6" borderId="0" applyAlignment="1" pivotButton="0" quotePrefix="0" xfId="0">
      <alignment horizontal="center" vertical="center" wrapText="1"/>
    </xf>
    <xf numFmtId="0" fontId="17" fillId="6" borderId="0" applyAlignment="1" pivotButton="0" quotePrefix="0" xfId="0">
      <alignment horizontal="center" vertical="center" wrapText="1"/>
    </xf>
    <xf numFmtId="0" fontId="18" fillId="6" borderId="0" applyAlignment="1" pivotButton="0" quotePrefix="0" xfId="0">
      <alignment horizontal="center" vertical="center" wrapText="1"/>
    </xf>
    <xf numFmtId="0" fontId="19" fillId="10" borderId="0" applyAlignment="1" pivotButton="0" quotePrefix="0" xfId="0">
      <alignment horizontal="center" vertical="center" wrapText="1"/>
    </xf>
    <xf numFmtId="0" fontId="20" fillId="10" borderId="0" applyAlignment="1" pivotButton="0" quotePrefix="0" xfId="0">
      <alignment horizontal="center" vertical="center" wrapText="1"/>
    </xf>
    <xf numFmtId="0" fontId="0" fillId="3" borderId="0" pivotButton="0" quotePrefix="0" xfId="0"/>
    <xf numFmtId="0" fontId="14" fillId="3" borderId="0" applyAlignment="1" pivotButton="0" quotePrefix="0" xfId="0">
      <alignment horizontal="center" vertical="center" wrapText="1"/>
    </xf>
    <xf numFmtId="0" fontId="14" fillId="3" borderId="0" applyAlignment="1" pivotButton="0" quotePrefix="0" xfId="0">
      <alignment horizontal="left" vertical="center" wrapText="1"/>
    </xf>
    <xf numFmtId="0" fontId="21" fillId="3" borderId="0" applyAlignment="1" pivotButton="0" quotePrefix="0" xfId="0">
      <alignment horizontal="center" vertical="center" wrapText="1"/>
    </xf>
    <xf numFmtId="0" fontId="22" fillId="3" borderId="0" applyAlignment="1" pivotButton="0" quotePrefix="0" xfId="0">
      <alignment horizontal="center" vertical="center" wrapText="1"/>
    </xf>
    <xf numFmtId="3" fontId="14" fillId="3" borderId="0" applyAlignment="1" pivotButton="0" quotePrefix="0" xfId="0">
      <alignment horizontal="right" vertical="center"/>
    </xf>
    <xf numFmtId="164" fontId="14" fillId="3" borderId="0" applyAlignment="1" pivotButton="0" quotePrefix="0" xfId="0">
      <alignment horizontal="right" vertical="center"/>
    </xf>
    <xf numFmtId="0" fontId="0" fillId="7" borderId="0" pivotButton="0" quotePrefix="0" xfId="0"/>
    <xf numFmtId="0" fontId="14" fillId="7" borderId="0" applyAlignment="1" pivotButton="0" quotePrefix="0" xfId="0">
      <alignment horizontal="center" vertical="center" wrapText="1"/>
    </xf>
    <xf numFmtId="0" fontId="14" fillId="7" borderId="0" applyAlignment="1" pivotButton="0" quotePrefix="0" xfId="0">
      <alignment horizontal="left" vertical="center" wrapText="1"/>
    </xf>
    <xf numFmtId="0" fontId="21" fillId="7" borderId="0" applyAlignment="1" pivotButton="0" quotePrefix="0" xfId="0">
      <alignment horizontal="center" vertical="center" wrapText="1"/>
    </xf>
    <xf numFmtId="0" fontId="22" fillId="7" borderId="0" applyAlignment="1" pivotButton="0" quotePrefix="0" xfId="0">
      <alignment horizontal="center" vertical="center" wrapText="1"/>
    </xf>
    <xf numFmtId="3" fontId="14" fillId="7" borderId="0" applyAlignment="1" pivotButton="0" quotePrefix="0" xfId="0">
      <alignment horizontal="right" vertical="center"/>
    </xf>
    <xf numFmtId="164" fontId="14" fillId="7" borderId="0" applyAlignment="1" pivotButton="0" quotePrefix="0" xfId="0">
      <alignment horizontal="right" vertical="center"/>
    </xf>
    <xf numFmtId="0" fontId="0" fillId="10" borderId="0" pivotButton="0" quotePrefix="0" xfId="0"/>
    <xf numFmtId="0" fontId="23" fillId="10" borderId="0" applyAlignment="1" pivotButton="0" quotePrefix="0" xfId="0">
      <alignment horizontal="left" vertical="center" wrapText="1"/>
    </xf>
    <xf numFmtId="3" fontId="12" fillId="10" borderId="0" applyAlignment="1" pivotButton="0" quotePrefix="0" xfId="0">
      <alignment horizontal="right" vertical="center"/>
    </xf>
    <xf numFmtId="164" fontId="12" fillId="10" borderId="0" applyAlignment="1" pivotButton="0" quotePrefix="0" xfId="0">
      <alignment horizontal="right" vertical="center"/>
    </xf>
    <xf numFmtId="0" fontId="3" fillId="9" borderId="0" applyAlignment="1" pivotButton="0" quotePrefix="0" xfId="0">
      <alignment horizontal="center" vertical="center" wrapText="1"/>
    </xf>
    <xf numFmtId="0" fontId="14" fillId="9" borderId="0" applyAlignment="1" pivotButton="0" quotePrefix="0" xfId="0">
      <alignment horizontal="left" vertical="center" wrapText="1"/>
    </xf>
    <xf numFmtId="0" fontId="0" fillId="11" borderId="0" pivotButton="0" quotePrefix="0" xfId="0"/>
    <xf numFmtId="0" fontId="15" fillId="11" borderId="0" applyAlignment="1" pivotButton="0" quotePrefix="0" xfId="0">
      <alignment horizontal="left" vertical="center" wrapText="1"/>
    </xf>
    <xf numFmtId="0" fontId="16" fillId="11" borderId="0" applyAlignment="1" pivotButton="0" quotePrefix="0" xfId="0">
      <alignment horizontal="right" vertical="center"/>
    </xf>
    <xf numFmtId="0" fontId="9" fillId="11" borderId="0" applyAlignment="1" pivotButton="0" quotePrefix="0" xfId="0">
      <alignment horizontal="center" vertical="center" wrapText="1"/>
    </xf>
    <xf numFmtId="0" fontId="16" fillId="11" borderId="0" applyAlignment="1" pivotButton="0" quotePrefix="0" xfId="0">
      <alignment horizontal="center" vertical="center" wrapText="1"/>
    </xf>
    <xf numFmtId="0" fontId="12" fillId="3" borderId="0" applyAlignment="1" pivotButton="0" quotePrefix="0" xfId="0">
      <alignment horizontal="left" vertical="center" wrapText="1"/>
    </xf>
    <xf numFmtId="0" fontId="21" fillId="3" borderId="0" applyAlignment="1" pivotButton="0" quotePrefix="0" xfId="0">
      <alignment horizontal="left" vertical="center" wrapText="1"/>
    </xf>
    <xf numFmtId="0" fontId="5" fillId="4" borderId="1" applyAlignment="1" pivotButton="0" quotePrefix="0" xfId="0">
      <alignment horizontal="center" vertical="center" wrapText="1"/>
    </xf>
    <xf numFmtId="165" fontId="5" fillId="3" borderId="0" applyAlignment="1" pivotButton="0" quotePrefix="0" xfId="0">
      <alignment horizontal="right" vertical="center"/>
    </xf>
    <xf numFmtId="0" fontId="5" fillId="7" borderId="2" applyAlignment="1" pivotButton="0" quotePrefix="0" xfId="0">
      <alignment horizontal="center" vertical="center" wrapText="1"/>
    </xf>
    <xf numFmtId="165" fontId="5" fillId="7" borderId="0" applyAlignment="1" pivotButton="0" quotePrefix="0" xfId="0">
      <alignment horizontal="right" vertical="center"/>
    </xf>
    <xf numFmtId="166" fontId="5" fillId="7" borderId="0" applyAlignment="1" pivotButton="0" quotePrefix="0" xfId="0">
      <alignment horizontal="right" vertical="center"/>
    </xf>
    <xf numFmtId="0" fontId="5" fillId="3" borderId="2" applyAlignment="1" pivotButton="0" quotePrefix="0" xfId="0">
      <alignment horizontal="center" vertical="center" wrapText="1"/>
    </xf>
    <xf numFmtId="166" fontId="5" fillId="3" borderId="0" applyAlignment="1" pivotButton="0" quotePrefix="0" xfId="0">
      <alignment horizontal="right" vertical="center"/>
    </xf>
    <xf numFmtId="0" fontId="11" fillId="3" borderId="0" applyAlignment="1" pivotButton="0" quotePrefix="0" xfId="0">
      <alignment horizontal="left" vertical="center" wrapText="1"/>
    </xf>
    <xf numFmtId="0" fontId="11" fillId="7" borderId="0" applyAlignment="1" pivotButton="0" quotePrefix="0" xfId="0">
      <alignment horizontal="left" vertical="center" wrapText="1"/>
    </xf>
    <xf numFmtId="3" fontId="3" fillId="4" borderId="0" applyAlignment="1" pivotButton="0" quotePrefix="0" xfId="0">
      <alignment horizontal="right" vertical="center"/>
    </xf>
    <xf numFmtId="3" fontId="5" fillId="7" borderId="0" applyAlignment="1" pivotButton="0" quotePrefix="0" xfId="0">
      <alignment horizontal="right" vertical="center"/>
    </xf>
    <xf numFmtId="3" fontId="5" fillId="3" borderId="0" applyAlignment="1" pivotButton="0" quotePrefix="0" xfId="0">
      <alignment horizontal="right" vertical="center"/>
    </xf>
    <xf numFmtId="167" fontId="5" fillId="4" borderId="1" applyAlignment="1" pivotButton="0" quotePrefix="0" xfId="0">
      <alignment horizontal="center" vertical="center" wrapText="1"/>
    </xf>
    <xf numFmtId="167" fontId="5" fillId="7" borderId="0" applyAlignment="1" pivotButton="0" quotePrefix="0" xfId="0">
      <alignment horizontal="center" vertical="center" wrapText="1"/>
    </xf>
    <xf numFmtId="167" fontId="5"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Volumen Semanal (Tonelaje)</a:t>
            </a:r>
          </a:p>
        </rich>
      </tx>
    </title>
    <plotArea>
      <barChart>
        <barDir val="col"/>
        <grouping val="clustered"/>
        <ser>
          <idx val="0"/>
          <order val="0"/>
          <tx>
            <v>Tonelaje</v>
          </tx>
          <spPr>
            <a:solidFill xmlns:a="http://schemas.openxmlformats.org/drawingml/2006/main">
              <a:srgbClr val="2D4A3E"/>
            </a:solidFill>
            <a:ln xmlns:a="http://schemas.openxmlformats.org/drawingml/2006/main">
              <a:solidFill>
                <a:srgbClr val="2D4A3E"/>
              </a:solidFill>
              <a:prstDash val="solid"/>
            </a:ln>
          </spPr>
          <cat>
            <numRef>
              <f>'EVOLUCIÓN'!$C$24:$J$24</f>
            </numRef>
          </cat>
          <val>
            <numRef>
              <f>'EVOLUCIÓN'!$C$25:$J$25</f>
            </numRef>
          </val>
        </ser>
        <gapWidth val="60"/>
        <overlap val="100"/>
        <axId val="10"/>
        <axId val="100"/>
      </barChart>
      <catAx>
        <axId val="10"/>
        <scaling>
          <orientation val="minMax"/>
        </scaling>
        <axPos val="l"/>
        <title>
          <tx>
            <rich>
              <a:bodyPr xmlns:a="http://schemas.openxmlformats.org/drawingml/2006/main"/>
              <a:p xmlns:a="http://schemas.openxmlformats.org/drawingml/2006/main">
                <a:pPr>
                  <a:defRPr sz="1000" b="0">
                    <a:latin typeface="Noto Sans CJK SC"/>
                    <a:ea typeface="Noto Sans CJK SC"/>
                  </a:defRPr>
                </a:pPr>
                <a:r>
                  <a:rPr sz="1000" b="0">
                    <a:latin typeface="Noto Sans CJK SC"/>
                    <a:ea typeface="Noto Sans CJK SC"/>
                  </a:rPr>
                  <a:t>Semana</a:t>
                </a:r>
              </a:p>
            </rich>
          </tx>
        </title>
        <majorTickMark val="none"/>
        <minorTickMark val="none"/>
        <crossAx val="100"/>
        <lblOffset val="100"/>
      </catAx>
      <valAx>
        <axId val="100"/>
        <scaling>
          <orientation val="minMax"/>
        </scaling>
        <axPos val="l"/>
        <majorGridlines/>
        <title>
          <tx>
            <rich>
              <a:bodyPr xmlns:a="http://schemas.openxmlformats.org/drawingml/2006/main" rot="-5400000"/>
              <a:p xmlns:a="http://schemas.openxmlformats.org/drawingml/2006/main">
                <a:pPr>
                  <a:defRPr sz="1000" b="0">
                    <a:latin typeface="Noto Sans CJK SC"/>
                    <a:ea typeface="Noto Sans CJK SC"/>
                  </a:defRPr>
                </a:pPr>
                <a:r>
                  <a:rPr sz="1000" b="0">
                    <a:latin typeface="Noto Sans CJK SC"/>
                    <a:ea typeface="Noto Sans CJK SC"/>
                  </a:rPr>
                  <a:t>Tonelaje 
(kg)</a:t>
                </a:r>
              </a:p>
            </rich>
          </tx>
          <txPr>
            <a:bodyPr xmlns:a="http://schemas.openxmlformats.org/drawingml/2006/main" rot="-5400000"/>
            <a:p xmlns:a="http://schemas.openxmlformats.org/drawingml/2006/main">
              <a:pPr>
                <a:defRPr sz="1000" b="0">
                  <a:latin typeface="Noto Sans CJK SC"/>
                  <a:ea typeface="Noto Sans CJK SC"/>
                </a:defRPr>
              </a:pPr>
              <a:r>
                <a:t/>
              </a:r>
            </a:p>
          </txPr>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Evolución RPE</a:t>
            </a:r>
          </a:p>
        </rich>
      </tx>
    </title>
    <plotArea>
      <lineChart>
        <grouping val="standard"/>
        <ser>
          <idx val="0"/>
          <order val="0"/>
          <tx>
            <v>RPE Medio</v>
          </tx>
          <spPr>
            <a:solidFill xmlns:a="http://schemas.openxmlformats.org/drawingml/2006/main">
              <a:srgbClr val="2D4A3E"/>
            </a:solidFill>
            <a:ln xmlns:a="http://schemas.openxmlformats.org/drawingml/2006/main">
              <a:solidFill>
                <a:srgbClr val="2D4A3E"/>
              </a:solidFill>
              <a:prstDash val="solid"/>
            </a:ln>
          </spPr>
          <marker>
            <symbol val="none"/>
            <spPr>
              <a:ln xmlns:a="http://schemas.openxmlformats.org/drawingml/2006/main">
                <a:prstDash val="solid"/>
              </a:ln>
            </spPr>
          </marker>
          <cat>
            <numRef>
              <f>'EVOLUCIÓN'!$C$43:$J$43</f>
            </numRef>
          </cat>
          <val>
            <numRef>
              <f>'EVOLUCIÓN'!$C$44:$J$44</f>
            </numRef>
          </val>
        </ser>
        <axId val="10"/>
        <axId val="100"/>
      </lineChart>
      <catAx>
        <axId val="10"/>
        <scaling>
          <orientation val="minMax"/>
        </scaling>
        <axPos val="l"/>
        <title>
          <tx>
            <rich>
              <a:bodyPr xmlns:a="http://schemas.openxmlformats.org/drawingml/2006/main"/>
              <a:p xmlns:a="http://schemas.openxmlformats.org/drawingml/2006/main">
                <a:pPr>
                  <a:defRPr sz="1000" b="0">
                    <a:latin typeface="Noto Sans CJK SC"/>
                    <a:ea typeface="Noto Sans CJK SC"/>
                  </a:defRPr>
                </a:pPr>
                <a:r>
                  <a:rPr sz="1000" b="0">
                    <a:latin typeface="Noto Sans CJK SC"/>
                    <a:ea typeface="Noto Sans CJK SC"/>
                  </a:rPr>
                  <a:t>Semana</a:t>
                </a:r>
              </a:p>
            </rich>
          </tx>
        </title>
        <majorTickMark val="none"/>
        <minorTickMark val="none"/>
        <crossAx val="100"/>
        <lblOffset val="100"/>
      </catAx>
      <valAx>
        <axId val="100"/>
        <scaling>
          <orientation val="minMax"/>
          <max val="10"/>
          <min val="1"/>
        </scaling>
        <axPos val="l"/>
        <majorGridlines/>
        <title>
          <tx>
            <rich>
              <a:bodyPr xmlns:a="http://schemas.openxmlformats.org/drawingml/2006/main" rot="-5400000"/>
              <a:p xmlns:a="http://schemas.openxmlformats.org/drawingml/2006/main">
                <a:pPr>
                  <a:defRPr sz="1000" b="0">
                    <a:latin typeface="Noto Sans CJK SC"/>
                    <a:ea typeface="Noto Sans CJK SC"/>
                  </a:defRPr>
                </a:pPr>
                <a:r>
                  <a:rPr sz="1000" b="0">
                    <a:latin typeface="Noto Sans CJK SC"/>
                    <a:ea typeface="Noto Sans CJK SC"/>
                  </a:rPr>
                  <a:t>RPE</a:t>
                </a:r>
              </a:p>
            </rich>
          </tx>
          <txPr>
            <a:bodyPr xmlns:a="http://schemas.openxmlformats.org/drawingml/2006/main" rot="-5400000"/>
            <a:p xmlns:a="http://schemas.openxmlformats.org/drawingml/2006/main">
              <a:pPr>
                <a:defRPr sz="1000" b="0">
                  <a:latin typeface="Noto Sans CJK SC"/>
                  <a:ea typeface="Noto Sans CJK SC"/>
                </a:defRPr>
              </a:pPr>
              <a:r>
                <a:t/>
              </a:r>
            </a:p>
          </txPr>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Progresión Elevaciones Principales</a:t>
            </a:r>
          </a:p>
        </rich>
      </tx>
    </title>
    <plotArea>
      <lineChart>
        <grouping val="standard"/>
        <ser>
          <idx val="0"/>
          <order val="0"/>
          <tx>
            <v>Sentadilla</v>
          </tx>
          <spPr>
            <a:solidFill xmlns:a="http://schemas.openxmlformats.org/drawingml/2006/main">
              <a:srgbClr val="2D4A3E"/>
            </a:solidFill>
            <a:ln xmlns:a="http://schemas.openxmlformats.org/drawingml/2006/main">
              <a:solidFill>
                <a:srgbClr val="2D4A3E"/>
              </a:solidFill>
              <a:prstDash val="solid"/>
            </a:ln>
          </spPr>
          <marker>
            <symbol val="none"/>
            <spPr>
              <a:ln xmlns:a="http://schemas.openxmlformats.org/drawingml/2006/main">
                <a:prstDash val="solid"/>
              </a:ln>
            </spPr>
          </marker>
          <cat>
            <numRef>
              <f>'EVOLUCIÓN'!$C$16:$J$16</f>
            </numRef>
          </cat>
          <val>
            <numRef>
              <f>'EVOLUCIÓN'!$C$17:$J$17</f>
            </numRef>
          </val>
        </ser>
        <ser>
          <idx val="1"/>
          <order val="1"/>
          <tx>
            <v>Press Banca</v>
          </tx>
          <spPr>
            <a:solidFill xmlns:a="http://schemas.openxmlformats.org/drawingml/2006/main">
              <a:srgbClr val="5FA67A"/>
            </a:solidFill>
            <a:ln xmlns:a="http://schemas.openxmlformats.org/drawingml/2006/main">
              <a:solidFill>
                <a:srgbClr val="5FA67A"/>
              </a:solidFill>
              <a:prstDash val="solid"/>
            </a:ln>
          </spPr>
          <marker>
            <symbol val="none"/>
            <spPr>
              <a:ln xmlns:a="http://schemas.openxmlformats.org/drawingml/2006/main">
                <a:prstDash val="solid"/>
              </a:ln>
            </spPr>
          </marker>
          <cat>
            <numRef>
              <f>'EVOLUCIÓN'!$C$16:$J$16</f>
            </numRef>
          </cat>
          <val>
            <numRef>
              <f>'EVOLUCIÓN'!$C$18:$J$18</f>
            </numRef>
          </val>
        </ser>
        <ser>
          <idx val="2"/>
          <order val="2"/>
          <tx>
            <v>Peso Muerto</v>
          </tx>
          <spPr>
            <a:solidFill xmlns:a="http://schemas.openxmlformats.org/drawingml/2006/main">
              <a:srgbClr val="B89B4A"/>
            </a:solidFill>
            <a:ln xmlns:a="http://schemas.openxmlformats.org/drawingml/2006/main">
              <a:solidFill>
                <a:srgbClr val="B89B4A"/>
              </a:solidFill>
              <a:prstDash val="solid"/>
            </a:ln>
          </spPr>
          <marker>
            <symbol val="none"/>
            <spPr>
              <a:ln xmlns:a="http://schemas.openxmlformats.org/drawingml/2006/main">
                <a:prstDash val="solid"/>
              </a:ln>
            </spPr>
          </marker>
          <cat>
            <numRef>
              <f>'EVOLUCIÓN'!$C$16:$J$16</f>
            </numRef>
          </cat>
          <val>
            <numRef>
              <f>'EVOLUCIÓN'!$C$19:$J$19</f>
            </numRef>
          </val>
        </ser>
        <ser>
          <idx val="3"/>
          <order val="3"/>
          <tx>
            <v>Jalón Alto</v>
          </tx>
          <spPr>
            <a:solidFill xmlns:a="http://schemas.openxmlformats.org/drawingml/2006/main">
              <a:srgbClr val="C2694B"/>
            </a:solidFill>
            <a:ln xmlns:a="http://schemas.openxmlformats.org/drawingml/2006/main">
              <a:solidFill>
                <a:srgbClr val="C2694B"/>
              </a:solidFill>
              <a:prstDash val="solid"/>
            </a:ln>
          </spPr>
          <marker>
            <symbol val="none"/>
            <spPr>
              <a:ln xmlns:a="http://schemas.openxmlformats.org/drawingml/2006/main">
                <a:prstDash val="solid"/>
              </a:ln>
            </spPr>
          </marker>
          <cat>
            <numRef>
              <f>'EVOLUCIÓN'!$C$16:$J$16</f>
            </numRef>
          </cat>
          <val>
            <numRef>
              <f>'EVOLUCIÓN'!$C$20:$J$20</f>
            </numRef>
          </val>
        </ser>
        <ser>
          <idx val="4"/>
          <order val="4"/>
          <tx>
            <v>Press Militar</v>
          </tx>
          <spPr>
            <a:solidFill xmlns:a="http://schemas.openxmlformats.org/drawingml/2006/main">
              <a:srgbClr val="7A9B8C"/>
            </a:solidFill>
            <a:ln xmlns:a="http://schemas.openxmlformats.org/drawingml/2006/main">
              <a:solidFill>
                <a:srgbClr val="7A9B8C"/>
              </a:solidFill>
              <a:prstDash val="solid"/>
            </a:ln>
          </spPr>
          <marker>
            <symbol val="none"/>
            <spPr>
              <a:ln xmlns:a="http://schemas.openxmlformats.org/drawingml/2006/main">
                <a:prstDash val="solid"/>
              </a:ln>
            </spPr>
          </marker>
          <cat>
            <numRef>
              <f>'EVOLUCIÓN'!$C$16:$J$16</f>
            </numRef>
          </cat>
          <val>
            <numRef>
              <f>'EVOLUCIÓN'!$C$21:$J$21</f>
            </numRef>
          </val>
        </ser>
        <axId val="10"/>
        <axId val="100"/>
      </lineChart>
      <catAx>
        <axId val="10"/>
        <scaling>
          <orientation val="minMax"/>
        </scaling>
        <axPos val="l"/>
        <title>
          <tx>
            <rich>
              <a:bodyPr xmlns:a="http://schemas.openxmlformats.org/drawingml/2006/main"/>
              <a:p xmlns:a="http://schemas.openxmlformats.org/drawingml/2006/main">
                <a:pPr>
                  <a:defRPr sz="1000" b="0">
                    <a:latin typeface="Noto Sans CJK SC"/>
                    <a:ea typeface="Noto Sans CJK SC"/>
                  </a:defRPr>
                </a:pPr>
                <a:r>
                  <a:rPr sz="1000" b="0">
                    <a:latin typeface="Noto Sans CJK SC"/>
                    <a:ea typeface="Noto Sans CJK SC"/>
                  </a:rPr>
                  <a:t>Semana</a:t>
                </a:r>
              </a:p>
            </rich>
          </tx>
        </title>
        <majorTickMark val="none"/>
        <minorTickMark val="none"/>
        <crossAx val="100"/>
        <lblOffset val="100"/>
      </catAx>
      <valAx>
        <axId val="100"/>
        <scaling>
          <orientation val="minMax"/>
        </scaling>
        <axPos val="l"/>
        <majorGridlines/>
        <title>
          <tx>
            <rich>
              <a:bodyPr xmlns:a="http://schemas.openxmlformats.org/drawingml/2006/main" rot="-5400000"/>
              <a:p xmlns:a="http://schemas.openxmlformats.org/drawingml/2006/main">
                <a:pPr>
                  <a:defRPr sz="1000" b="0">
                    <a:latin typeface="Noto Sans CJK SC"/>
                    <a:ea typeface="Noto Sans CJK SC"/>
                  </a:defRPr>
                </a:pPr>
                <a:r>
                  <a:rPr sz="1000" b="0">
                    <a:latin typeface="Noto Sans CJK SC"/>
                    <a:ea typeface="Noto Sans CJK SC"/>
                  </a:rPr>
                  <a:t>KG</a:t>
                </a:r>
              </a:p>
            </rich>
          </tx>
          <txPr>
            <a:bodyPr xmlns:a="http://schemas.openxmlformats.org/drawingml/2006/main" rot="-5400000"/>
            <a:p xmlns:a="http://schemas.openxmlformats.org/drawingml/2006/main">
              <a:pPr>
                <a:defRPr sz="1000" b="0">
                  <a:latin typeface="Noto Sans CJK SC"/>
                  <a:ea typeface="Noto Sans CJK SC"/>
                </a:defRPr>
              </a:pPr>
              <a:r>
                <a:t/>
              </a:r>
            </a:p>
          </txPr>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image" Target="/xl/media/image3.jpeg" Id="rId4"/></Relationships>
</file>

<file path=xl/drawings/drawing1.xml><?xml version="1.0" encoding="utf-8"?>
<wsDr xmlns="http://schemas.openxmlformats.org/drawingml/2006/spreadsheetDrawing">
  <oneCellAnchor>
    <from>
      <col>12</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24</col>
      <colOff>0</colOff>
      <row>1</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26</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45</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61</row>
      <rowOff>0</rowOff>
    </from>
    <ext cx="792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0</colOff>
      <row>1</row>
      <rowOff>0</rowOff>
    </from>
    <ext cx="381000"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2D4A3E"/>
    <outlinePr summaryBelow="1" summaryRight="1"/>
    <pageSetUpPr/>
  </sheetPr>
  <dimension ref="A2:N33"/>
  <sheetViews>
    <sheetView showGridLines="0" workbookViewId="0">
      <pane ySplit="2" topLeftCell="A3" activePane="bottomLeft" state="frozen"/>
      <selection pane="bottomLeft" activeCell="A1" sqref="A1"/>
    </sheetView>
  </sheetViews>
  <sheetFormatPr baseColWidth="8" defaultRowHeight="15"/>
  <cols>
    <col width="3" customWidth="1" min="1" max="1"/>
    <col width="18" customWidth="1" min="2" max="2"/>
    <col width="16" customWidth="1" min="3" max="3"/>
    <col width="16" customWidth="1" min="4" max="4"/>
    <col width="16" customWidth="1" min="5" max="5"/>
    <col width="16" customWidth="1" min="6" max="6"/>
    <col width="3" customWidth="1" min="7" max="7"/>
    <col width="22" customWidth="1" min="8" max="8"/>
    <col width="22" customWidth="1" min="9" max="9"/>
    <col width="22" customWidth="1" min="10" max="10"/>
    <col width="22" customWidth="1" min="11" max="11"/>
    <col width="14" customWidth="1" min="12" max="12"/>
    <col width="14" customWidth="1" min="13" max="13"/>
    <col width="14" customWidth="1" min="14" max="14"/>
  </cols>
  <sheetData>
    <row r="1" ht="10" customHeight="1"/>
    <row r="2" ht="50" customHeight="1">
      <c r="A2" s="1" t="n"/>
      <c r="B2" s="2" t="inlineStr">
        <is>
          <t>A-THERAPY</t>
        </is>
      </c>
      <c r="C2" s="1" t="n"/>
      <c r="D2" s="1" t="n"/>
      <c r="E2" s="3" t="inlineStr">
        <is>
          <t>SEGUIMIENTO DE ENTRENAMIENTO</t>
        </is>
      </c>
      <c r="F2" s="1" t="n"/>
      <c r="G2" s="1" t="n"/>
      <c r="H2" s="1" t="n"/>
      <c r="I2" s="1" t="n"/>
      <c r="J2" s="1" t="n"/>
      <c r="K2" s="1" t="n"/>
      <c r="L2" s="1" t="n"/>
      <c r="M2" s="1" t="n"/>
      <c r="N2" s="1" t="n"/>
    </row>
    <row r="3" ht="8" customHeight="1"/>
    <row r="4">
      <c r="B4" s="4" t="inlineStr">
        <is>
          <t>INFORMACIÓN GENERAL</t>
        </is>
      </c>
    </row>
    <row r="5" ht="28" customHeight="1">
      <c r="B5" s="5" t="inlineStr">
        <is>
          <t>Cliente:</t>
        </is>
      </c>
      <c r="C5" s="6" t="inlineStr"/>
      <c r="D5" s="5" t="inlineStr">
        <is>
          <t>Mesociclo:</t>
        </is>
      </c>
      <c r="E5" s="6" t="n">
        <v>7</v>
      </c>
      <c r="F5" s="5" t="inlineStr">
        <is>
          <t>Semana:</t>
        </is>
      </c>
      <c r="G5" s="6" t="n">
        <v>1</v>
      </c>
      <c r="H5" s="5" t="inlineStr">
        <is>
          <t>Peso Inicio:</t>
        </is>
      </c>
      <c r="I5" s="6" t="inlineStr"/>
      <c r="J5" s="5" t="inlineStr">
        <is>
          <t>Peso Final:</t>
        </is>
      </c>
      <c r="K5" s="6" t="inlineStr"/>
    </row>
    <row r="7">
      <c r="B7" s="4" t="inlineStr">
        <is>
          <t>INDICADORES CLAVE</t>
        </is>
      </c>
    </row>
    <row r="8" ht="38" customHeight="1">
      <c r="B8" s="7" t="inlineStr">
        <is>
          <t>4 / 6</t>
        </is>
      </c>
      <c r="C8" s="8" t="n"/>
      <c r="E8" s="7" t="inlineStr">
        <is>
          <t>7.276 kg</t>
        </is>
      </c>
      <c r="F8" s="8" t="n"/>
      <c r="H8" s="7" t="inlineStr">
        <is>
          <t>—</t>
        </is>
      </c>
      <c r="I8" s="8" t="n"/>
      <c r="K8" s="7" t="inlineStr">
        <is>
          <t>—</t>
        </is>
      </c>
      <c r="L8" s="8" t="n"/>
    </row>
    <row r="9" ht="18" customHeight="1">
      <c r="B9" s="9" t="inlineStr">
        <is>
          <t>Sesiones</t>
        </is>
      </c>
      <c r="C9" s="8" t="n"/>
      <c r="E9" s="9" t="inlineStr">
        <is>
          <t>Tonelaje Total</t>
        </is>
      </c>
      <c r="F9" s="8" t="n"/>
      <c r="H9" s="9" t="inlineStr">
        <is>
          <t>RPE Medio</t>
        </is>
      </c>
      <c r="I9" s="8" t="n"/>
      <c r="K9" s="9" t="inlineStr">
        <is>
          <t>Mejora</t>
        </is>
      </c>
      <c r="L9" s="8" t="n"/>
    </row>
    <row r="10" ht="16" customHeight="1">
      <c r="B10" s="10" t="inlineStr">
        <is>
          <t>de 6 planificadas</t>
        </is>
      </c>
      <c r="E10" s="10" t="inlineStr">
        <is>
          <t>volumen semanal</t>
        </is>
      </c>
      <c r="H10" s="10" t="inlineStr">
        <is>
          <t>esfuerzo percibido</t>
        </is>
      </c>
      <c r="K10" s="10" t="inlineStr">
        <is>
          <t>vs. semana anterior</t>
        </is>
      </c>
    </row>
    <row r="12">
      <c r="B12" s="4" t="inlineStr">
        <is>
          <t>ESTADO SEMANAL</t>
        </is>
      </c>
    </row>
    <row r="13" ht="24" customHeight="1">
      <c r="B13" s="11" t="inlineStr"/>
      <c r="C13" s="11" t="inlineStr">
        <is>
          <t>Lun</t>
        </is>
      </c>
      <c r="D13" s="11" t="inlineStr">
        <is>
          <t>Mar</t>
        </is>
      </c>
      <c r="E13" s="11" t="inlineStr">
        <is>
          <t>Mié</t>
        </is>
      </c>
      <c r="F13" s="11" t="inlineStr">
        <is>
          <t>Jue</t>
        </is>
      </c>
      <c r="G13" s="11" t="inlineStr">
        <is>
          <t>Vie</t>
        </is>
      </c>
      <c r="H13" s="11" t="inlineStr">
        <is>
          <t>Sáb</t>
        </is>
      </c>
      <c r="I13" s="11" t="inlineStr">
        <is>
          <t>Dom</t>
        </is>
      </c>
    </row>
    <row r="14" ht="22" customHeight="1">
      <c r="B14" s="12" t="inlineStr">
        <is>
          <t>Fatiga</t>
        </is>
      </c>
      <c r="C14" s="13" t="n">
        <v>1</v>
      </c>
      <c r="D14" s="13" t="n">
        <v>1</v>
      </c>
      <c r="E14" s="13" t="n">
        <v>1</v>
      </c>
      <c r="F14" s="13" t="n">
        <v>1</v>
      </c>
      <c r="G14" s="13" t="n">
        <v>7</v>
      </c>
      <c r="H14" s="13" t="n">
        <v>7</v>
      </c>
    </row>
    <row r="15" ht="22" customHeight="1">
      <c r="B15" s="14" t="inlineStr">
        <is>
          <t>Agujetas</t>
        </is>
      </c>
      <c r="C15" s="15" t="n">
        <v>1</v>
      </c>
      <c r="D15" s="15" t="n">
        <v>1</v>
      </c>
      <c r="E15" s="15" t="n">
        <v>1</v>
      </c>
      <c r="F15" s="15" t="n">
        <v>1</v>
      </c>
      <c r="G15" s="15" t="n">
        <v>8</v>
      </c>
      <c r="H15" s="15" t="inlineStr"/>
    </row>
    <row r="16" ht="22" customHeight="1">
      <c r="B16" s="12" t="inlineStr">
        <is>
          <t>Motivación</t>
        </is>
      </c>
      <c r="C16" s="13" t="n">
        <v>1</v>
      </c>
      <c r="D16" s="13" t="n">
        <v>1</v>
      </c>
      <c r="E16" s="13" t="n">
        <v>1</v>
      </c>
      <c r="F16" s="13" t="n">
        <v>1</v>
      </c>
      <c r="G16" s="13" t="n">
        <v>7</v>
      </c>
      <c r="H16" s="13" t="n">
        <v>7</v>
      </c>
    </row>
    <row r="17" ht="22" customHeight="1">
      <c r="B17" s="14" t="inlineStr">
        <is>
          <t>Horas Sueño</t>
        </is>
      </c>
      <c r="C17" s="15" t="n">
        <v>7</v>
      </c>
      <c r="D17" s="15" t="n">
        <v>7</v>
      </c>
      <c r="E17" s="15" t="n">
        <v>7</v>
      </c>
      <c r="F17" s="15" t="n">
        <v>7</v>
      </c>
      <c r="G17" s="15" t="inlineStr"/>
      <c r="H17" s="15" t="inlineStr"/>
    </row>
    <row r="18" ht="22" customHeight="1">
      <c r="B18" s="12" t="inlineStr">
        <is>
          <t>Calidad Sueño</t>
        </is>
      </c>
      <c r="C18" s="13" t="n">
        <v>6</v>
      </c>
      <c r="D18" s="13" t="n">
        <v>6</v>
      </c>
      <c r="E18" s="13" t="n">
        <v>6</v>
      </c>
      <c r="F18" s="13" t="n">
        <v>6</v>
      </c>
      <c r="G18" s="13" t="inlineStr"/>
      <c r="H18" s="13" t="inlineStr"/>
    </row>
    <row r="20">
      <c r="B20" s="4" t="inlineStr">
        <is>
          <t>RESUMEN DE SESIONES</t>
        </is>
      </c>
    </row>
    <row r="21" ht="24" customHeight="1">
      <c r="B21" s="11" t="inlineStr">
        <is>
          <t>Día</t>
        </is>
      </c>
      <c r="C21" s="11" t="inlineStr">
        <is>
          <t>Tipo</t>
        </is>
      </c>
      <c r="D21" s="11" t="inlineStr">
        <is>
          <t>Val.</t>
        </is>
      </c>
      <c r="E21" s="11" t="inlineStr">
        <is>
          <t>Ejerc.</t>
        </is>
      </c>
      <c r="F21" s="11" t="inlineStr">
        <is>
          <t>Tonelaje</t>
        </is>
      </c>
      <c r="G21" s="11" t="inlineStr">
        <is>
          <t>Max KG</t>
        </is>
      </c>
    </row>
    <row r="22" ht="22" customHeight="1">
      <c r="B22" s="13" t="inlineStr">
        <is>
          <t>Día 1</t>
        </is>
      </c>
      <c r="C22" s="16" t="inlineStr">
        <is>
          <t>Upper A</t>
        </is>
      </c>
      <c r="D22" s="13" t="inlineStr">
        <is>
          <t>BUENO</t>
        </is>
      </c>
      <c r="E22" s="13" t="n">
        <v>6</v>
      </c>
      <c r="F22" s="17" t="inlineStr">
        <is>
          <t>—</t>
        </is>
      </c>
      <c r="G22" s="17" t="inlineStr">
        <is>
          <t>—</t>
        </is>
      </c>
    </row>
    <row r="23" ht="22" customHeight="1">
      <c r="B23" s="15" t="inlineStr">
        <is>
          <t>Día 2</t>
        </is>
      </c>
      <c r="C23" s="18" t="inlineStr">
        <is>
          <t>LEG A</t>
        </is>
      </c>
      <c r="D23" s="15" t="inlineStr">
        <is>
          <t>BUENO</t>
        </is>
      </c>
      <c r="E23" s="15" t="n">
        <v>6</v>
      </c>
      <c r="F23" s="19" t="inlineStr">
        <is>
          <t>4,580 kg</t>
        </is>
      </c>
      <c r="G23" s="19" t="inlineStr">
        <is>
          <t>100.0 kg</t>
        </is>
      </c>
    </row>
    <row r="24" ht="22" customHeight="1">
      <c r="B24" s="13" t="inlineStr">
        <is>
          <t>Día 3</t>
        </is>
      </c>
      <c r="C24" s="20" t="inlineStr">
        <is>
          <t>REST</t>
        </is>
      </c>
      <c r="D24" s="13" t="inlineStr">
        <is>
          <t>BUENO</t>
        </is>
      </c>
      <c r="E24" s="13" t="n">
        <v>2</v>
      </c>
      <c r="F24" s="17" t="inlineStr">
        <is>
          <t>—</t>
        </is>
      </c>
      <c r="G24" s="17" t="inlineStr">
        <is>
          <t>—</t>
        </is>
      </c>
    </row>
    <row r="25" ht="22" customHeight="1">
      <c r="B25" s="15" t="inlineStr">
        <is>
          <t>Día 4</t>
        </is>
      </c>
      <c r="C25" s="18" t="inlineStr">
        <is>
          <t>UPPER B</t>
        </is>
      </c>
      <c r="D25" s="15" t="inlineStr">
        <is>
          <t>BUENO</t>
        </is>
      </c>
      <c r="E25" s="15" t="n">
        <v>8</v>
      </c>
      <c r="F25" s="19" t="inlineStr">
        <is>
          <t>7,542 kg</t>
        </is>
      </c>
      <c r="G25" s="19" t="inlineStr">
        <is>
          <t>70.0 kg</t>
        </is>
      </c>
    </row>
    <row r="26" ht="22" customHeight="1">
      <c r="B26" s="13" t="inlineStr">
        <is>
          <t>Día 5</t>
        </is>
      </c>
      <c r="C26" s="16" t="inlineStr">
        <is>
          <t>LEG B</t>
        </is>
      </c>
      <c r="D26" s="13" t="inlineStr">
        <is>
          <t>BUENO</t>
        </is>
      </c>
      <c r="E26" s="13" t="n">
        <v>7</v>
      </c>
      <c r="F26" s="17" t="inlineStr">
        <is>
          <t>6,665 kg</t>
        </is>
      </c>
      <c r="G26" s="17" t="inlineStr">
        <is>
          <t>140.0 kg</t>
        </is>
      </c>
    </row>
    <row r="27" ht="22" customHeight="1">
      <c r="B27" s="15" t="inlineStr">
        <is>
          <t>Día 6</t>
        </is>
      </c>
      <c r="C27" s="18" t="inlineStr">
        <is>
          <t>—</t>
        </is>
      </c>
      <c r="D27" s="15" t="inlineStr">
        <is>
          <t>—</t>
        </is>
      </c>
      <c r="E27" s="15" t="n">
        <v>0</v>
      </c>
      <c r="F27" s="19" t="inlineStr">
        <is>
          <t>—</t>
        </is>
      </c>
      <c r="G27" s="19" t="inlineStr">
        <is>
          <t>—</t>
        </is>
      </c>
    </row>
    <row r="29" ht="12" customHeight="1"/>
    <row r="30">
      <c r="B30" s="4" t="inlineStr">
        <is>
          <t>NOTAS DEL ENTRENADOR</t>
        </is>
      </c>
    </row>
    <row r="31" ht="45" customHeight="1">
      <c r="B31" s="21" t="inlineStr"/>
      <c r="C31" s="22" t="n"/>
      <c r="D31" s="22" t="n"/>
      <c r="E31" s="22" t="n"/>
      <c r="F31" s="22" t="n"/>
      <c r="G31" s="22" t="n"/>
      <c r="H31" s="22" t="n"/>
      <c r="I31" s="22" t="n"/>
      <c r="J31" s="22" t="n"/>
      <c r="K31" s="22" t="n"/>
      <c r="L31" s="22" t="n"/>
      <c r="M31" s="22" t="n"/>
    </row>
    <row r="33">
      <c r="B33" s="23" t="inlineStr">
        <is>
          <t>A-THERAPY  ,  Fuerza , Ciencia , Rendimiento</t>
        </is>
      </c>
    </row>
  </sheetData>
  <mergeCells count="9">
    <mergeCell ref="E9:F9"/>
    <mergeCell ref="K8:L8"/>
    <mergeCell ref="H9:I9"/>
    <mergeCell ref="B31:M31"/>
    <mergeCell ref="K9:L9"/>
    <mergeCell ref="H8:I8"/>
    <mergeCell ref="B9:C9"/>
    <mergeCell ref="B8:C8"/>
    <mergeCell ref="E8:F8"/>
  </mergeCells>
  <dataValidations count="2">
    <dataValidation sqref="C5" showDropDown="0" showInputMessage="0" showErrorMessage="0" allowBlank="1" type="list">
      <formula1>LISTAS!$A$2:$A$11</formula1>
    </dataValidation>
    <dataValidation sqref="C14 C15 C16 C17 C18 D14 D15 D16 D17 D18 E14 E15 E16 E17 E18 F14 F15 F16 F17 F18 G14 G15 G16 G17 G18 H14 H15 H16 H17 H18 I14 I15 I16 I17 I18" showDropDown="0" showInputMessage="0" showErrorMessage="0" allowBlank="1" type="list">
      <formula1>LISTAS!$C$2:$C$11</formula1>
    </dataValidation>
  </dataValidation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2D4A3E"/>
    <outlinePr summaryBelow="1" summaryRight="1"/>
    <pageSetUpPr/>
  </sheetPr>
  <dimension ref="A2:Z92"/>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2.5" customWidth="1" min="1" max="1"/>
    <col width="4" customWidth="1" min="2" max="2"/>
    <col width="30" customWidth="1" min="3" max="3"/>
    <col width="20" customWidth="1" min="4" max="4"/>
    <col width="8" customWidth="1" min="5" max="5"/>
    <col width="8" customWidth="1" min="6" max="6"/>
    <col width="7" customWidth="1" min="7" max="7"/>
    <col width="8" customWidth="1" min="8" max="8"/>
    <col width="8" customWidth="1" min="9" max="9"/>
    <col width="7" customWidth="1" min="10" max="10"/>
    <col width="8" customWidth="1" min="11" max="11"/>
    <col width="8" customWidth="1" min="12" max="12"/>
    <col width="7" customWidth="1" min="13" max="13"/>
    <col width="8" customWidth="1" min="14" max="14"/>
    <col width="8" customWidth="1" min="15" max="15"/>
    <col width="7" customWidth="1" min="16" max="16"/>
    <col width="8" customWidth="1" min="17" max="17"/>
    <col width="8" customWidth="1" min="18" max="18"/>
    <col width="7" customWidth="1" min="19" max="19"/>
    <col width="13" customWidth="1" min="20" max="20"/>
    <col width="9" customWidth="1" min="21" max="21"/>
    <col width="2" customWidth="1" min="22" max="22"/>
    <col width="14" customWidth="1" min="23" max="23"/>
    <col width="14" customWidth="1" min="24" max="24"/>
    <col width="14" customWidth="1" min="25" max="25"/>
    <col width="30" customWidth="1" min="26" max="26"/>
  </cols>
  <sheetData>
    <row r="1" ht="8" customHeight="1"/>
    <row r="2" ht="50" customHeight="1">
      <c r="A2" s="1" t="n"/>
      <c r="B2" s="2" t="inlineStr">
        <is>
          <t>A-THERAPY</t>
        </is>
      </c>
      <c r="C2" s="1" t="n"/>
      <c r="D2" s="1" t="n"/>
      <c r="E2" s="3" t="inlineStr">
        <is>
          <t>REGISTRO SEMANAL DE ENTRENAMIENTO</t>
        </is>
      </c>
      <c r="F2" s="1" t="n"/>
      <c r="G2" s="1" t="n"/>
      <c r="H2" s="1" t="n"/>
      <c r="I2" s="1" t="n"/>
      <c r="J2" s="1" t="n"/>
      <c r="K2" s="1" t="n"/>
      <c r="L2" s="1" t="n"/>
      <c r="M2" s="1" t="n"/>
      <c r="N2" s="1" t="n"/>
      <c r="O2" s="1" t="n"/>
      <c r="P2" s="1" t="n"/>
      <c r="Q2" s="1" t="n"/>
      <c r="R2" s="1" t="n"/>
      <c r="S2" s="1" t="n"/>
      <c r="T2" s="1" t="n"/>
      <c r="U2" s="1" t="n"/>
      <c r="V2" s="1" t="n"/>
      <c r="W2" s="1" t="n"/>
      <c r="X2" s="1" t="n"/>
      <c r="Y2" s="1" t="n"/>
      <c r="Z2" s="1" t="n"/>
    </row>
    <row r="3" ht="26" customHeight="1">
      <c r="A3" s="24" t="n"/>
      <c r="B3" s="25" t="inlineStr">
        <is>
          <t>Mesociclo:</t>
        </is>
      </c>
      <c r="C3" s="26" t="n">
        <v>7</v>
      </c>
      <c r="D3" s="24" t="n"/>
      <c r="E3" s="24" t="n"/>
      <c r="F3" s="24" t="n"/>
      <c r="G3" s="24" t="n"/>
      <c r="H3" s="25" t="inlineStr">
        <is>
          <t>Semana:</t>
        </is>
      </c>
      <c r="I3" s="26" t="n">
        <v>1</v>
      </c>
      <c r="J3" s="24" t="n"/>
      <c r="K3" s="24" t="n"/>
      <c r="L3" s="24" t="n"/>
      <c r="M3" s="24" t="n"/>
      <c r="N3" s="25" t="inlineStr">
        <is>
          <t>Peso Inicio:</t>
        </is>
      </c>
      <c r="O3" s="26" t="inlineStr"/>
      <c r="P3" s="24" t="n"/>
      <c r="Q3" s="24" t="n"/>
      <c r="R3" s="24" t="n"/>
      <c r="S3" s="24" t="n"/>
      <c r="T3" s="25" t="inlineStr">
        <is>
          <t>Peso Final:</t>
        </is>
      </c>
      <c r="U3" s="26" t="inlineStr"/>
      <c r="V3" s="25" t="inlineStr">
        <is>
          <t>¿Mejora?</t>
        </is>
      </c>
      <c r="W3" s="27" t="inlineStr"/>
      <c r="X3" s="24" t="n"/>
      <c r="Y3" s="24" t="n"/>
      <c r="Z3" s="24" t="n"/>
    </row>
    <row r="4" ht="22" customHeight="1">
      <c r="B4" s="28" t="inlineStr">
        <is>
          <t>Fatiga</t>
        </is>
      </c>
      <c r="C4" s="29" t="inlineStr"/>
      <c r="G4" s="28" t="inlineStr">
        <is>
          <t>Agujetas</t>
        </is>
      </c>
      <c r="H4" s="29" t="inlineStr"/>
      <c r="L4" s="28" t="inlineStr">
        <is>
          <t>Motivación</t>
        </is>
      </c>
      <c r="M4" s="29" t="inlineStr"/>
      <c r="Q4" s="28" t="inlineStr">
        <is>
          <t>Sueño(h)</t>
        </is>
      </c>
      <c r="R4" s="29" t="inlineStr"/>
      <c r="V4" s="28" t="inlineStr">
        <is>
          <t>Calidad</t>
        </is>
      </c>
      <c r="W4" s="29" t="inlineStr"/>
    </row>
    <row r="5" ht="4" customHeight="1"/>
    <row r="6" ht="26" customHeight="1">
      <c r="A6" s="30" t="n"/>
      <c r="B6" s="31" t="inlineStr">
        <is>
          <t>DÍA 1  ,  Upper A</t>
        </is>
      </c>
      <c r="C6" s="30" t="n"/>
      <c r="D6" s="30" t="n"/>
      <c r="E6" s="30" t="n"/>
      <c r="F6" s="30" t="n"/>
      <c r="G6" s="30" t="n"/>
      <c r="H6" s="30" t="n"/>
      <c r="I6" s="30" t="n"/>
      <c r="J6" s="30" t="n"/>
      <c r="K6" s="30" t="n"/>
      <c r="L6" s="30" t="n"/>
      <c r="M6" s="32" t="inlineStr">
        <is>
          <t>Fecha:</t>
        </is>
      </c>
      <c r="N6" s="11" t="inlineStr"/>
      <c r="O6" s="30" t="n"/>
      <c r="P6" s="32" t="inlineStr">
        <is>
          <t>Valoración:</t>
        </is>
      </c>
      <c r="Q6" s="33" t="inlineStr">
        <is>
          <t>BUENO</t>
        </is>
      </c>
      <c r="R6" s="30" t="n"/>
      <c r="S6" s="30" t="n"/>
      <c r="T6" s="30" t="n"/>
      <c r="U6" s="30" t="n"/>
    </row>
    <row r="7" ht="20" customHeight="1">
      <c r="B7" s="34" t="inlineStr">
        <is>
          <t>#</t>
        </is>
      </c>
      <c r="C7" s="34" t="inlineStr">
        <is>
          <t>EJERCICIO</t>
        </is>
      </c>
      <c r="D7" s="34" t="inlineStr">
        <is>
          <t>PRESCRIPCIÓN</t>
        </is>
      </c>
      <c r="E7" s="35" t="inlineStr">
        <is>
          <t>SERIE 1</t>
        </is>
      </c>
      <c r="F7" s="30" t="n"/>
      <c r="G7" s="30" t="n"/>
      <c r="H7" s="35" t="inlineStr">
        <is>
          <t>SERIE 2</t>
        </is>
      </c>
      <c r="I7" s="30" t="n"/>
      <c r="J7" s="30" t="n"/>
      <c r="K7" s="35" t="inlineStr">
        <is>
          <t>SERIE 3</t>
        </is>
      </c>
      <c r="L7" s="30" t="n"/>
      <c r="M7" s="30" t="n"/>
      <c r="N7" s="35" t="inlineStr">
        <is>
          <t>SERIE 4</t>
        </is>
      </c>
      <c r="O7" s="30" t="n"/>
      <c r="P7" s="30" t="n"/>
      <c r="Q7" s="35" t="inlineStr">
        <is>
          <t>SERIE 5</t>
        </is>
      </c>
      <c r="R7" s="30" t="n"/>
      <c r="S7" s="30" t="n"/>
      <c r="T7" s="34" t="inlineStr">
        <is>
          <t>TONELAJE</t>
        </is>
      </c>
      <c r="U7" s="34" t="inlineStr">
        <is>
          <t>MAX</t>
        </is>
      </c>
    </row>
    <row r="8" ht="16" customHeight="1">
      <c r="B8" s="36" t="inlineStr"/>
      <c r="C8" s="36" t="inlineStr"/>
      <c r="D8" s="36" t="inlineStr"/>
      <c r="E8" s="37" t="inlineStr">
        <is>
          <t>RPS</t>
        </is>
      </c>
      <c r="F8" s="37" t="inlineStr">
        <is>
          <t>KGS</t>
        </is>
      </c>
      <c r="G8" s="37" t="inlineStr">
        <is>
          <t>RIR</t>
        </is>
      </c>
      <c r="H8" s="37" t="inlineStr">
        <is>
          <t>RPS</t>
        </is>
      </c>
      <c r="I8" s="37" t="inlineStr">
        <is>
          <t>KGS</t>
        </is>
      </c>
      <c r="J8" s="37" t="inlineStr">
        <is>
          <t>RIR</t>
        </is>
      </c>
      <c r="K8" s="37" t="inlineStr">
        <is>
          <t>RPS</t>
        </is>
      </c>
      <c r="L8" s="37" t="inlineStr">
        <is>
          <t>KGS</t>
        </is>
      </c>
      <c r="M8" s="37" t="inlineStr">
        <is>
          <t>RIR</t>
        </is>
      </c>
      <c r="N8" s="37" t="inlineStr">
        <is>
          <t>RPS</t>
        </is>
      </c>
      <c r="O8" s="37" t="inlineStr">
        <is>
          <t>KGS</t>
        </is>
      </c>
      <c r="P8" s="37" t="inlineStr">
        <is>
          <t>RIR</t>
        </is>
      </c>
      <c r="Q8" s="37" t="inlineStr">
        <is>
          <t>RPS</t>
        </is>
      </c>
      <c r="R8" s="37" t="inlineStr">
        <is>
          <t>KGS</t>
        </is>
      </c>
      <c r="S8" s="37" t="inlineStr">
        <is>
          <t>RIR</t>
        </is>
      </c>
      <c r="T8" s="36" t="inlineStr"/>
      <c r="U8" s="36" t="inlineStr"/>
    </row>
    <row r="9" ht="22" customHeight="1">
      <c r="A9" s="38" t="n"/>
      <c r="B9" s="39" t="n">
        <v>1</v>
      </c>
      <c r="C9" s="40" t="inlineStr">
        <is>
          <t>Press Banca Multipower</t>
        </is>
      </c>
      <c r="D9" s="41" t="inlineStr">
        <is>
          <t>3×7-9 RPS , RiR 1</t>
        </is>
      </c>
      <c r="E9" s="42" t="inlineStr"/>
      <c r="F9" s="42" t="inlineStr"/>
      <c r="G9" s="42" t="inlineStr"/>
      <c r="H9" s="42" t="inlineStr"/>
      <c r="I9" s="42" t="inlineStr"/>
      <c r="J9" s="42" t="inlineStr"/>
      <c r="K9" s="42" t="inlineStr"/>
      <c r="L9" s="42" t="inlineStr"/>
      <c r="M9" s="42" t="inlineStr"/>
      <c r="N9" s="42" t="inlineStr"/>
      <c r="O9" s="42" t="inlineStr"/>
      <c r="P9" s="42" t="inlineStr"/>
      <c r="Q9" s="42" t="inlineStr"/>
      <c r="R9" s="42" t="inlineStr"/>
      <c r="S9" s="42" t="inlineStr"/>
      <c r="T9" s="43">
        <f>IFERROR(E9*F9,0)+IFERROR(H9*I9,0)+IFERROR(K9*L9,0)+IFERROR(N9*O9,0)+IFERROR(Q9*R9,0)</f>
        <v/>
      </c>
      <c r="U9" s="44">
        <f>IFERROR(MAX(F9,I9,L9,O9,R9),0)</f>
        <v/>
      </c>
    </row>
    <row r="10" ht="22" customHeight="1">
      <c r="A10" s="45" t="n"/>
      <c r="B10" s="46" t="n">
        <v>2</v>
      </c>
      <c r="C10" s="47" t="inlineStr">
        <is>
          <t>Jalón Alto al pecho prono</t>
        </is>
      </c>
      <c r="D10" s="48" t="inlineStr">
        <is>
          <t>3×8-10 RPS , RiR 1</t>
        </is>
      </c>
      <c r="E10" s="49" t="inlineStr"/>
      <c r="F10" s="49" t="inlineStr"/>
      <c r="G10" s="49" t="inlineStr"/>
      <c r="H10" s="49" t="inlineStr"/>
      <c r="I10" s="49" t="inlineStr"/>
      <c r="J10" s="49" t="inlineStr"/>
      <c r="K10" s="49" t="inlineStr"/>
      <c r="L10" s="49" t="inlineStr"/>
      <c r="M10" s="49" t="inlineStr"/>
      <c r="N10" s="49" t="inlineStr"/>
      <c r="O10" s="49" t="inlineStr"/>
      <c r="P10" s="49" t="inlineStr"/>
      <c r="Q10" s="49" t="inlineStr"/>
      <c r="R10" s="49" t="inlineStr"/>
      <c r="S10" s="49" t="inlineStr"/>
      <c r="T10" s="50">
        <f>IFERROR(E10*F10,0)+IFERROR(H10*I10,0)+IFERROR(K10*L10,0)+IFERROR(N10*O10,0)+IFERROR(Q10*R10,0)</f>
        <v/>
      </c>
      <c r="U10" s="51">
        <f>IFERROR(MAX(F10,I10,L10,O10,R10),0)</f>
        <v/>
      </c>
    </row>
    <row r="11" ht="22" customHeight="1">
      <c r="A11" s="38" t="n"/>
      <c r="B11" s="39" t="n">
        <v>3</v>
      </c>
      <c r="C11" s="40" t="inlineStr">
        <is>
          <t>Remo en polea sentado agarre ancho</t>
        </is>
      </c>
      <c r="D11" s="41" t="inlineStr">
        <is>
          <t>3×8-10 RPS , RiR 1</t>
        </is>
      </c>
      <c r="E11" s="42" t="inlineStr"/>
      <c r="F11" s="42" t="inlineStr"/>
      <c r="G11" s="42" t="inlineStr"/>
      <c r="H11" s="42" t="inlineStr"/>
      <c r="I11" s="42" t="inlineStr"/>
      <c r="J11" s="42" t="inlineStr"/>
      <c r="K11" s="42" t="inlineStr"/>
      <c r="L11" s="42" t="inlineStr"/>
      <c r="M11" s="42" t="inlineStr"/>
      <c r="N11" s="42" t="inlineStr"/>
      <c r="O11" s="42" t="inlineStr"/>
      <c r="P11" s="42" t="inlineStr"/>
      <c r="Q11" s="42" t="inlineStr"/>
      <c r="R11" s="42" t="inlineStr"/>
      <c r="S11" s="42" t="inlineStr"/>
      <c r="T11" s="43">
        <f>IFERROR(E11*F11,0)+IFERROR(H11*I11,0)+IFERROR(K11*L11,0)+IFERROR(N11*O11,0)+IFERROR(Q11*R11,0)</f>
        <v/>
      </c>
      <c r="U11" s="44">
        <f>IFERROR(MAX(F11,I11,L11,O11,R11),0)</f>
        <v/>
      </c>
    </row>
    <row r="12" ht="22" customHeight="1">
      <c r="A12" s="45" t="n"/>
      <c r="B12" s="46" t="n">
        <v>4</v>
      </c>
      <c r="C12" s="47" t="inlineStr">
        <is>
          <t>Aperturas Bayesian abajo-arriba</t>
        </is>
      </c>
      <c r="D12" s="48" t="inlineStr">
        <is>
          <t>2×10-12 RPS , RiR 1</t>
        </is>
      </c>
      <c r="E12" s="49" t="inlineStr"/>
      <c r="F12" s="49" t="inlineStr"/>
      <c r="G12" s="49" t="inlineStr"/>
      <c r="H12" s="49" t="inlineStr"/>
      <c r="I12" s="49" t="inlineStr"/>
      <c r="J12" s="49" t="inlineStr"/>
      <c r="K12" s="49" t="inlineStr"/>
      <c r="L12" s="49" t="inlineStr"/>
      <c r="M12" s="49" t="inlineStr"/>
      <c r="N12" s="49" t="inlineStr"/>
      <c r="O12" s="49" t="inlineStr"/>
      <c r="P12" s="49" t="inlineStr"/>
      <c r="Q12" s="49" t="inlineStr"/>
      <c r="R12" s="49" t="inlineStr"/>
      <c r="S12" s="49" t="inlineStr"/>
      <c r="T12" s="50">
        <f>IFERROR(E12*F12,0)+IFERROR(H12*I12,0)+IFERROR(K12*L12,0)+IFERROR(N12*O12,0)+IFERROR(Q12*R12,0)</f>
        <v/>
      </c>
      <c r="U12" s="51">
        <f>IFERROR(MAX(F12,I12,L12,O12,R12),0)</f>
        <v/>
      </c>
    </row>
    <row r="13" ht="22" customHeight="1">
      <c r="A13" s="38" t="n"/>
      <c r="B13" s="39" t="n">
        <v>5</v>
      </c>
      <c r="C13" s="40" t="inlineStr">
        <is>
          <t>Press Francés Barra Z + Curl Bíceps Barra Z</t>
        </is>
      </c>
      <c r="D13" s="41" t="inlineStr">
        <is>
          <t>3×8-10 RPS , RiR 1</t>
        </is>
      </c>
      <c r="E13" s="42" t="inlineStr"/>
      <c r="F13" s="42" t="inlineStr"/>
      <c r="G13" s="42" t="inlineStr"/>
      <c r="H13" s="42" t="inlineStr"/>
      <c r="I13" s="42" t="inlineStr"/>
      <c r="J13" s="42" t="inlineStr"/>
      <c r="K13" s="42" t="inlineStr"/>
      <c r="L13" s="42" t="inlineStr"/>
      <c r="M13" s="42" t="inlineStr"/>
      <c r="N13" s="42" t="inlineStr"/>
      <c r="O13" s="42" t="inlineStr"/>
      <c r="P13" s="42" t="inlineStr"/>
      <c r="Q13" s="42" t="inlineStr"/>
      <c r="R13" s="42" t="inlineStr"/>
      <c r="S13" s="42" t="inlineStr"/>
      <c r="T13" s="43">
        <f>IFERROR(E13*F13,0)+IFERROR(H13*I13,0)+IFERROR(K13*L13,0)+IFERROR(N13*O13,0)+IFERROR(Q13*R13,0)</f>
        <v/>
      </c>
      <c r="U13" s="44">
        <f>IFERROR(MAX(F13,I13,L13,O13,R13),0)</f>
        <v/>
      </c>
    </row>
    <row r="14" ht="22" customHeight="1">
      <c r="A14" s="45" t="n"/>
      <c r="B14" s="46" t="n">
        <v>6</v>
      </c>
      <c r="C14" s="47" t="inlineStr">
        <is>
          <t>Ext. unilat. tríceps polea + Curl Bayesian</t>
        </is>
      </c>
      <c r="D14" s="48" t="inlineStr">
        <is>
          <t>2×10-12 RPS , RiR 1</t>
        </is>
      </c>
      <c r="E14" s="49" t="inlineStr"/>
      <c r="F14" s="49" t="inlineStr"/>
      <c r="G14" s="49" t="inlineStr"/>
      <c r="H14" s="49" t="inlineStr"/>
      <c r="I14" s="49" t="inlineStr"/>
      <c r="J14" s="49" t="inlineStr"/>
      <c r="K14" s="49" t="inlineStr"/>
      <c r="L14" s="49" t="inlineStr"/>
      <c r="M14" s="49" t="inlineStr"/>
      <c r="N14" s="49" t="inlineStr"/>
      <c r="O14" s="49" t="inlineStr"/>
      <c r="P14" s="49" t="inlineStr"/>
      <c r="Q14" s="49" t="inlineStr"/>
      <c r="R14" s="49" t="inlineStr"/>
      <c r="S14" s="49" t="inlineStr"/>
      <c r="T14" s="50">
        <f>IFERROR(E14*F14,0)+IFERROR(H14*I14,0)+IFERROR(K14*L14,0)+IFERROR(N14*O14,0)+IFERROR(Q14*R14,0)</f>
        <v/>
      </c>
      <c r="U14" s="51">
        <f>IFERROR(MAX(F14,I14,L14,O14,R14),0)</f>
        <v/>
      </c>
    </row>
    <row r="15" ht="22" customHeight="1">
      <c r="A15" s="38" t="n"/>
      <c r="B15" s="39" t="n">
        <v>7</v>
      </c>
      <c r="C15" s="38" t="n"/>
      <c r="D15" s="38" t="n"/>
      <c r="E15" s="42" t="inlineStr"/>
      <c r="F15" s="42" t="inlineStr"/>
      <c r="G15" s="42" t="inlineStr"/>
      <c r="H15" s="42" t="inlineStr"/>
      <c r="I15" s="42" t="inlineStr"/>
      <c r="J15" s="42" t="inlineStr"/>
      <c r="K15" s="42" t="inlineStr"/>
      <c r="L15" s="42" t="inlineStr"/>
      <c r="M15" s="42" t="inlineStr"/>
      <c r="N15" s="42" t="inlineStr"/>
      <c r="O15" s="42" t="inlineStr"/>
      <c r="P15" s="42" t="inlineStr"/>
      <c r="Q15" s="42" t="inlineStr"/>
      <c r="R15" s="42" t="inlineStr"/>
      <c r="S15" s="42" t="inlineStr"/>
      <c r="T15" s="43">
        <f>IFERROR(E15*F15,0)+IFERROR(H15*I15,0)+IFERROR(K15*L15,0)+IFERROR(N15*O15,0)+IFERROR(Q15*R15,0)</f>
        <v/>
      </c>
      <c r="U15" s="44">
        <f>IFERROR(MAX(F15,I15,L15,O15,R15),0)</f>
        <v/>
      </c>
    </row>
    <row r="16" ht="22" customHeight="1">
      <c r="A16" s="45" t="n"/>
      <c r="B16" s="46" t="n">
        <v>8</v>
      </c>
      <c r="C16" s="45" t="n"/>
      <c r="D16" s="45" t="n"/>
      <c r="E16" s="49" t="inlineStr"/>
      <c r="F16" s="49" t="inlineStr"/>
      <c r="G16" s="49" t="inlineStr"/>
      <c r="H16" s="49" t="inlineStr"/>
      <c r="I16" s="49" t="inlineStr"/>
      <c r="J16" s="49" t="inlineStr"/>
      <c r="K16" s="49" t="inlineStr"/>
      <c r="L16" s="49" t="inlineStr"/>
      <c r="M16" s="49" t="inlineStr"/>
      <c r="N16" s="49" t="inlineStr"/>
      <c r="O16" s="49" t="inlineStr"/>
      <c r="P16" s="49" t="inlineStr"/>
      <c r="Q16" s="49" t="inlineStr"/>
      <c r="R16" s="49" t="inlineStr"/>
      <c r="S16" s="49" t="inlineStr"/>
      <c r="T16" s="50">
        <f>IFERROR(E16*F16,0)+IFERROR(H16*I16,0)+IFERROR(K16*L16,0)+IFERROR(N16*O16,0)+IFERROR(Q16*R16,0)</f>
        <v/>
      </c>
      <c r="U16" s="51">
        <f>IFERROR(MAX(F16,I16,L16,O16,R16),0)</f>
        <v/>
      </c>
    </row>
    <row r="17" ht="22" customHeight="1">
      <c r="A17" s="38" t="n"/>
      <c r="B17" s="39" t="n">
        <v>9</v>
      </c>
      <c r="C17" s="38" t="n"/>
      <c r="D17" s="38" t="n"/>
      <c r="E17" s="42" t="inlineStr"/>
      <c r="F17" s="42" t="inlineStr"/>
      <c r="G17" s="42" t="inlineStr"/>
      <c r="H17" s="42" t="inlineStr"/>
      <c r="I17" s="42" t="inlineStr"/>
      <c r="J17" s="42" t="inlineStr"/>
      <c r="K17" s="42" t="inlineStr"/>
      <c r="L17" s="42" t="inlineStr"/>
      <c r="M17" s="42" t="inlineStr"/>
      <c r="N17" s="42" t="inlineStr"/>
      <c r="O17" s="42" t="inlineStr"/>
      <c r="P17" s="42" t="inlineStr"/>
      <c r="Q17" s="42" t="inlineStr"/>
      <c r="R17" s="42" t="inlineStr"/>
      <c r="S17" s="42" t="inlineStr"/>
      <c r="T17" s="43">
        <f>IFERROR(E17*F17,0)+IFERROR(H17*I17,0)+IFERROR(K17*L17,0)+IFERROR(N17*O17,0)+IFERROR(Q17*R17,0)</f>
        <v/>
      </c>
      <c r="U17" s="44">
        <f>IFERROR(MAX(F17,I17,L17,O17,R17),0)</f>
        <v/>
      </c>
    </row>
    <row r="18" ht="24" customHeight="1">
      <c r="A18" s="52" t="n"/>
      <c r="B18" s="52" t="n"/>
      <c r="C18" s="53" t="inlineStr">
        <is>
          <t>TOTAL DÍA</t>
        </is>
      </c>
      <c r="D18" s="52" t="n"/>
      <c r="E18" s="52" t="n"/>
      <c r="F18" s="52" t="n"/>
      <c r="G18" s="52" t="n"/>
      <c r="H18" s="52" t="n"/>
      <c r="I18" s="52" t="n"/>
      <c r="J18" s="52" t="n"/>
      <c r="K18" s="52" t="n"/>
      <c r="L18" s="52" t="n"/>
      <c r="M18" s="52" t="n"/>
      <c r="N18" s="52" t="n"/>
      <c r="O18" s="52" t="n"/>
      <c r="P18" s="52" t="n"/>
      <c r="Q18" s="52" t="n"/>
      <c r="R18" s="52" t="n"/>
      <c r="S18" s="52" t="n"/>
      <c r="T18" s="54">
        <f>SUM(T9:T17)</f>
        <v/>
      </c>
      <c r="U18" s="55">
        <f>IFERROR(MAX(U9:U17),0)</f>
        <v/>
      </c>
    </row>
    <row r="19" ht="26" customHeight="1">
      <c r="A19" s="24" t="n"/>
      <c r="B19" s="25" t="inlineStr">
        <is>
          <t>Readiness (PRS):</t>
        </is>
      </c>
      <c r="C19" s="24" t="n"/>
      <c r="D19" s="56" t="inlineStr"/>
      <c r="E19" s="24" t="n"/>
      <c r="F19" s="25" t="inlineStr">
        <is>
          <t>RPE Post-Entreno:</t>
        </is>
      </c>
      <c r="G19" s="24" t="n"/>
      <c r="H19" s="56" t="inlineStr"/>
      <c r="I19" s="24" t="n"/>
      <c r="J19" s="25" t="inlineStr">
        <is>
          <t>Notas:</t>
        </is>
      </c>
      <c r="K19" s="57" t="inlineStr"/>
      <c r="L19" s="24" t="n"/>
      <c r="M19" s="24" t="n"/>
      <c r="N19" s="24" t="n"/>
      <c r="O19" s="24" t="n"/>
      <c r="P19" s="24" t="n"/>
      <c r="Q19" s="24" t="n"/>
      <c r="R19" s="24" t="n"/>
      <c r="S19" s="24" t="n"/>
      <c r="T19" s="24" t="n"/>
      <c r="U19" s="24" t="n"/>
    </row>
    <row r="20" ht="6" customHeight="1">
      <c r="A20" s="38" t="n"/>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row>
    <row r="21" ht="26" customHeight="1">
      <c r="A21" s="30" t="n"/>
      <c r="B21" s="31" t="inlineStr">
        <is>
          <t>DÍA 2  ,  LEG A</t>
        </is>
      </c>
      <c r="C21" s="30" t="n"/>
      <c r="D21" s="30" t="n"/>
      <c r="E21" s="30" t="n"/>
      <c r="F21" s="30" t="n"/>
      <c r="G21" s="30" t="n"/>
      <c r="H21" s="30" t="n"/>
      <c r="I21" s="30" t="n"/>
      <c r="J21" s="30" t="n"/>
      <c r="K21" s="30" t="n"/>
      <c r="L21" s="30" t="n"/>
      <c r="M21" s="32" t="inlineStr">
        <is>
          <t>Fecha:</t>
        </is>
      </c>
      <c r="N21" s="11" t="inlineStr"/>
      <c r="O21" s="30" t="n"/>
      <c r="P21" s="32" t="inlineStr">
        <is>
          <t>Valoración:</t>
        </is>
      </c>
      <c r="Q21" s="33" t="inlineStr">
        <is>
          <t>BUENO</t>
        </is>
      </c>
      <c r="R21" s="30" t="n"/>
      <c r="S21" s="30" t="n"/>
      <c r="T21" s="30" t="n"/>
      <c r="U21" s="30" t="n"/>
    </row>
    <row r="22" ht="20" customHeight="1">
      <c r="B22" s="34" t="inlineStr">
        <is>
          <t>#</t>
        </is>
      </c>
      <c r="C22" s="34" t="inlineStr">
        <is>
          <t>EJERCICIO</t>
        </is>
      </c>
      <c r="D22" s="34" t="inlineStr">
        <is>
          <t>PRESCRIPCIÓN</t>
        </is>
      </c>
      <c r="E22" s="35" t="inlineStr">
        <is>
          <t>SERIE 1</t>
        </is>
      </c>
      <c r="F22" s="30" t="n"/>
      <c r="G22" s="30" t="n"/>
      <c r="H22" s="35" t="inlineStr">
        <is>
          <t>SERIE 2</t>
        </is>
      </c>
      <c r="I22" s="30" t="n"/>
      <c r="J22" s="30" t="n"/>
      <c r="K22" s="35" t="inlineStr">
        <is>
          <t>SERIE 3</t>
        </is>
      </c>
      <c r="L22" s="30" t="n"/>
      <c r="M22" s="30" t="n"/>
      <c r="N22" s="35" t="inlineStr">
        <is>
          <t>SERIE 4</t>
        </is>
      </c>
      <c r="O22" s="30" t="n"/>
      <c r="P22" s="30" t="n"/>
      <c r="Q22" s="35" t="inlineStr">
        <is>
          <t>SERIE 5</t>
        </is>
      </c>
      <c r="R22" s="30" t="n"/>
      <c r="S22" s="30" t="n"/>
      <c r="T22" s="34" t="inlineStr">
        <is>
          <t>TONELAJE</t>
        </is>
      </c>
      <c r="U22" s="34" t="inlineStr">
        <is>
          <t>MAX</t>
        </is>
      </c>
    </row>
    <row r="23" ht="16" customHeight="1">
      <c r="B23" s="36" t="inlineStr"/>
      <c r="C23" s="36" t="inlineStr"/>
      <c r="D23" s="36" t="inlineStr"/>
      <c r="E23" s="37" t="inlineStr">
        <is>
          <t>RPS</t>
        </is>
      </c>
      <c r="F23" s="37" t="inlineStr">
        <is>
          <t>KGS</t>
        </is>
      </c>
      <c r="G23" s="37" t="inlineStr">
        <is>
          <t>RIR</t>
        </is>
      </c>
      <c r="H23" s="37" t="inlineStr">
        <is>
          <t>RPS</t>
        </is>
      </c>
      <c r="I23" s="37" t="inlineStr">
        <is>
          <t>KGS</t>
        </is>
      </c>
      <c r="J23" s="37" t="inlineStr">
        <is>
          <t>RIR</t>
        </is>
      </c>
      <c r="K23" s="37" t="inlineStr">
        <is>
          <t>RPS</t>
        </is>
      </c>
      <c r="L23" s="37" t="inlineStr">
        <is>
          <t>KGS</t>
        </is>
      </c>
      <c r="M23" s="37" t="inlineStr">
        <is>
          <t>RIR</t>
        </is>
      </c>
      <c r="N23" s="37" t="inlineStr">
        <is>
          <t>RPS</t>
        </is>
      </c>
      <c r="O23" s="37" t="inlineStr">
        <is>
          <t>KGS</t>
        </is>
      </c>
      <c r="P23" s="37" t="inlineStr">
        <is>
          <t>RIR</t>
        </is>
      </c>
      <c r="Q23" s="37" t="inlineStr">
        <is>
          <t>RPS</t>
        </is>
      </c>
      <c r="R23" s="37" t="inlineStr">
        <is>
          <t>KGS</t>
        </is>
      </c>
      <c r="S23" s="37" t="inlineStr">
        <is>
          <t>RIR</t>
        </is>
      </c>
      <c r="T23" s="36" t="inlineStr"/>
      <c r="U23" s="36" t="inlineStr"/>
    </row>
    <row r="24" ht="22" customHeight="1">
      <c r="A24" s="38" t="n"/>
      <c r="B24" s="39" t="n">
        <v>1</v>
      </c>
      <c r="C24" s="40" t="inlineStr">
        <is>
          <t>Sentadilla Multipower</t>
        </is>
      </c>
      <c r="D24" s="41" t="inlineStr">
        <is>
          <t>3×7-9 RPS , RiR 1</t>
        </is>
      </c>
      <c r="E24" s="39" t="n">
        <v>8</v>
      </c>
      <c r="F24" s="39" t="n">
        <v>100</v>
      </c>
      <c r="G24" s="39" t="n">
        <v>1</v>
      </c>
      <c r="H24" s="39" t="n">
        <v>9</v>
      </c>
      <c r="I24" s="39" t="n">
        <v>90</v>
      </c>
      <c r="J24" s="39" t="n">
        <v>1</v>
      </c>
      <c r="K24" s="39" t="n">
        <v>7</v>
      </c>
      <c r="L24" s="39" t="n">
        <v>90</v>
      </c>
      <c r="M24" s="39" t="n">
        <v>1</v>
      </c>
      <c r="N24" s="42" t="inlineStr"/>
      <c r="O24" s="42" t="inlineStr"/>
      <c r="P24" s="42" t="inlineStr"/>
      <c r="Q24" s="42" t="inlineStr"/>
      <c r="R24" s="42" t="inlineStr"/>
      <c r="S24" s="42" t="inlineStr"/>
      <c r="T24" s="43">
        <f>IFERROR(E24*F24,0)+IFERROR(H24*I24,0)+IFERROR(K24*L24,0)+IFERROR(N24*O24,0)+IFERROR(Q24*R24,0)</f>
        <v/>
      </c>
      <c r="U24" s="44">
        <f>IFERROR(MAX(F24,I24,L24,O24,R24),0)</f>
        <v/>
      </c>
    </row>
    <row r="25" ht="22" customHeight="1">
      <c r="A25" s="45" t="n"/>
      <c r="B25" s="46" t="n">
        <v>2</v>
      </c>
      <c r="C25" s="47" t="inlineStr">
        <is>
          <t>Prensa</t>
        </is>
      </c>
      <c r="D25" s="48" t="inlineStr">
        <is>
          <t>3×10-12 RPS , RiR 1</t>
        </is>
      </c>
      <c r="E25" s="49" t="inlineStr"/>
      <c r="F25" s="49" t="inlineStr"/>
      <c r="G25" s="49" t="inlineStr"/>
      <c r="H25" s="49" t="inlineStr"/>
      <c r="I25" s="49" t="inlineStr"/>
      <c r="J25" s="49" t="inlineStr"/>
      <c r="K25" s="49" t="inlineStr"/>
      <c r="L25" s="49" t="inlineStr"/>
      <c r="M25" s="49" t="inlineStr"/>
      <c r="N25" s="49" t="inlineStr"/>
      <c r="O25" s="49" t="inlineStr"/>
      <c r="P25" s="49" t="inlineStr"/>
      <c r="Q25" s="49" t="inlineStr"/>
      <c r="R25" s="49" t="inlineStr"/>
      <c r="S25" s="49" t="inlineStr"/>
      <c r="T25" s="50">
        <f>IFERROR(E25*F25,0)+IFERROR(H25*I25,0)+IFERROR(K25*L25,0)+IFERROR(N25*O25,0)+IFERROR(Q25*R25,0)</f>
        <v/>
      </c>
      <c r="U25" s="51">
        <f>IFERROR(MAX(F25,I25,L25,O25,R25),0)</f>
        <v/>
      </c>
    </row>
    <row r="26" ht="22" customHeight="1">
      <c r="A26" s="38" t="n"/>
      <c r="B26" s="39" t="n">
        <v>3</v>
      </c>
      <c r="C26" s="40" t="inlineStr">
        <is>
          <t>Extensiones de Cuádriceps</t>
        </is>
      </c>
      <c r="D26" s="41" t="inlineStr">
        <is>
          <t>2×12-15 RPS , RiR 1</t>
        </is>
      </c>
      <c r="E26" s="39" t="n">
        <v>12</v>
      </c>
      <c r="F26" s="39" t="n">
        <v>100</v>
      </c>
      <c r="G26" s="39" t="n">
        <v>1</v>
      </c>
      <c r="H26" s="39" t="n">
        <v>12</v>
      </c>
      <c r="I26" s="39" t="n">
        <v>95</v>
      </c>
      <c r="J26" s="39" t="n">
        <v>1</v>
      </c>
      <c r="K26" s="42" t="inlineStr"/>
      <c r="L26" s="42" t="inlineStr"/>
      <c r="M26" s="42" t="inlineStr"/>
      <c r="N26" s="42" t="inlineStr"/>
      <c r="O26" s="42" t="inlineStr"/>
      <c r="P26" s="42" t="inlineStr"/>
      <c r="Q26" s="42" t="inlineStr"/>
      <c r="R26" s="42" t="inlineStr"/>
      <c r="S26" s="42" t="inlineStr"/>
      <c r="T26" s="43">
        <f>IFERROR(E26*F26,0)+IFERROR(H26*I26,0)+IFERROR(K26*L26,0)+IFERROR(N26*O26,0)+IFERROR(Q26*R26,0)</f>
        <v/>
      </c>
      <c r="U26" s="44">
        <f>IFERROR(MAX(F26,I26,L26,O26,R26),0)</f>
        <v/>
      </c>
    </row>
    <row r="27" ht="22" customHeight="1">
      <c r="A27" s="45" t="n"/>
      <c r="B27" s="46" t="n">
        <v>4</v>
      </c>
      <c r="C27" s="47" t="inlineStr">
        <is>
          <t>Curl Femoral Sentado</t>
        </is>
      </c>
      <c r="D27" s="48" t="inlineStr">
        <is>
          <t>3×8-10 RPS , RiR 1</t>
        </is>
      </c>
      <c r="E27" s="49" t="inlineStr"/>
      <c r="F27" s="49" t="inlineStr"/>
      <c r="G27" s="49" t="inlineStr"/>
      <c r="H27" s="49" t="inlineStr"/>
      <c r="I27" s="49" t="inlineStr"/>
      <c r="J27" s="49" t="inlineStr"/>
      <c r="K27" s="49" t="inlineStr"/>
      <c r="L27" s="49" t="inlineStr"/>
      <c r="M27" s="49" t="inlineStr"/>
      <c r="N27" s="49" t="inlineStr"/>
      <c r="O27" s="49" t="inlineStr"/>
      <c r="P27" s="49" t="inlineStr"/>
      <c r="Q27" s="49" t="inlineStr"/>
      <c r="R27" s="49" t="inlineStr"/>
      <c r="S27" s="49" t="inlineStr"/>
      <c r="T27" s="50">
        <f>IFERROR(E27*F27,0)+IFERROR(H27*I27,0)+IFERROR(K27*L27,0)+IFERROR(N27*O27,0)+IFERROR(Q27*R27,0)</f>
        <v/>
      </c>
      <c r="U27" s="51">
        <f>IFERROR(MAX(F27,I27,L27,O27,R27),0)</f>
        <v/>
      </c>
    </row>
    <row r="28" ht="22" customHeight="1">
      <c r="A28" s="38" t="n"/>
      <c r="B28" s="39" t="n">
        <v>5</v>
      </c>
      <c r="C28" s="40" t="inlineStr">
        <is>
          <t>Press Militar Neutro</t>
        </is>
      </c>
      <c r="D28" s="41" t="inlineStr">
        <is>
          <t>3×7-9 RPS , RiR 1</t>
        </is>
      </c>
      <c r="E28" s="42" t="inlineStr"/>
      <c r="F28" s="42" t="inlineStr"/>
      <c r="G28" s="42" t="inlineStr"/>
      <c r="H28" s="42" t="inlineStr"/>
      <c r="I28" s="42" t="inlineStr"/>
      <c r="J28" s="42" t="inlineStr"/>
      <c r="K28" s="42" t="inlineStr"/>
      <c r="L28" s="42" t="inlineStr"/>
      <c r="M28" s="42" t="inlineStr"/>
      <c r="N28" s="42" t="inlineStr"/>
      <c r="O28" s="42" t="inlineStr"/>
      <c r="P28" s="42" t="inlineStr"/>
      <c r="Q28" s="42" t="inlineStr"/>
      <c r="R28" s="42" t="inlineStr"/>
      <c r="S28" s="42" t="inlineStr"/>
      <c r="T28" s="43">
        <f>IFERROR(E28*F28,0)+IFERROR(H28*I28,0)+IFERROR(K28*L28,0)+IFERROR(N28*O28,0)+IFERROR(Q28*R28,0)</f>
        <v/>
      </c>
      <c r="U28" s="44">
        <f>IFERROR(MAX(F28,I28,L28,O28,R28),0)</f>
        <v/>
      </c>
    </row>
    <row r="29" ht="22" customHeight="1">
      <c r="A29" s="45" t="n"/>
      <c r="B29" s="46" t="n">
        <v>6</v>
      </c>
      <c r="C29" s="47" t="inlineStr">
        <is>
          <t>Elev. laterales mcna sobre banco</t>
        </is>
      </c>
      <c r="D29" s="48" t="inlineStr">
        <is>
          <t>3×12-15 RPS , RiR 1</t>
        </is>
      </c>
      <c r="E29" s="49" t="inlineStr"/>
      <c r="F29" s="49" t="inlineStr"/>
      <c r="G29" s="49" t="inlineStr"/>
      <c r="H29" s="49" t="inlineStr"/>
      <c r="I29" s="49" t="inlineStr"/>
      <c r="J29" s="49" t="inlineStr"/>
      <c r="K29" s="49" t="inlineStr"/>
      <c r="L29" s="49" t="inlineStr"/>
      <c r="M29" s="49" t="inlineStr"/>
      <c r="N29" s="49" t="inlineStr"/>
      <c r="O29" s="49" t="inlineStr"/>
      <c r="P29" s="49" t="inlineStr"/>
      <c r="Q29" s="49" t="inlineStr"/>
      <c r="R29" s="49" t="inlineStr"/>
      <c r="S29" s="49" t="inlineStr"/>
      <c r="T29" s="50">
        <f>IFERROR(E29*F29,0)+IFERROR(H29*I29,0)+IFERROR(K29*L29,0)+IFERROR(N29*O29,0)+IFERROR(Q29*R29,0)</f>
        <v/>
      </c>
      <c r="U29" s="51">
        <f>IFERROR(MAX(F29,I29,L29,O29,R29),0)</f>
        <v/>
      </c>
    </row>
    <row r="30" ht="22" customHeight="1">
      <c r="A30" s="38" t="n"/>
      <c r="B30" s="39" t="n">
        <v>7</v>
      </c>
      <c r="C30" s="38" t="n"/>
      <c r="D30" s="38" t="n"/>
      <c r="E30" s="42" t="inlineStr"/>
      <c r="F30" s="42" t="inlineStr"/>
      <c r="G30" s="42" t="inlineStr"/>
      <c r="H30" s="42" t="inlineStr"/>
      <c r="I30" s="42" t="inlineStr"/>
      <c r="J30" s="42" t="inlineStr"/>
      <c r="K30" s="42" t="inlineStr"/>
      <c r="L30" s="42" t="inlineStr"/>
      <c r="M30" s="42" t="inlineStr"/>
      <c r="N30" s="42" t="inlineStr"/>
      <c r="O30" s="42" t="inlineStr"/>
      <c r="P30" s="42" t="inlineStr"/>
      <c r="Q30" s="42" t="inlineStr"/>
      <c r="R30" s="42" t="inlineStr"/>
      <c r="S30" s="42" t="inlineStr"/>
      <c r="T30" s="43">
        <f>IFERROR(E30*F30,0)+IFERROR(H30*I30,0)+IFERROR(K30*L30,0)+IFERROR(N30*O30,0)+IFERROR(Q30*R30,0)</f>
        <v/>
      </c>
      <c r="U30" s="44">
        <f>IFERROR(MAX(F30,I30,L30,O30,R30),0)</f>
        <v/>
      </c>
    </row>
    <row r="31" ht="22" customHeight="1">
      <c r="A31" s="45" t="n"/>
      <c r="B31" s="46" t="n">
        <v>8</v>
      </c>
      <c r="C31" s="45" t="n"/>
      <c r="D31" s="45" t="n"/>
      <c r="E31" s="49" t="inlineStr"/>
      <c r="F31" s="49" t="inlineStr"/>
      <c r="G31" s="49" t="inlineStr"/>
      <c r="H31" s="49" t="inlineStr"/>
      <c r="I31" s="49" t="inlineStr"/>
      <c r="J31" s="49" t="inlineStr"/>
      <c r="K31" s="49" t="inlineStr"/>
      <c r="L31" s="49" t="inlineStr"/>
      <c r="M31" s="49" t="inlineStr"/>
      <c r="N31" s="49" t="inlineStr"/>
      <c r="O31" s="49" t="inlineStr"/>
      <c r="P31" s="49" t="inlineStr"/>
      <c r="Q31" s="49" t="inlineStr"/>
      <c r="R31" s="49" t="inlineStr"/>
      <c r="S31" s="49" t="inlineStr"/>
      <c r="T31" s="50">
        <f>IFERROR(E31*F31,0)+IFERROR(H31*I31,0)+IFERROR(K31*L31,0)+IFERROR(N31*O31,0)+IFERROR(Q31*R31,0)</f>
        <v/>
      </c>
      <c r="U31" s="51">
        <f>IFERROR(MAX(F31,I31,L31,O31,R31),0)</f>
        <v/>
      </c>
    </row>
    <row r="32" ht="22" customHeight="1">
      <c r="A32" s="38" t="n"/>
      <c r="B32" s="39" t="n">
        <v>9</v>
      </c>
      <c r="C32" s="38" t="n"/>
      <c r="D32" s="38" t="n"/>
      <c r="E32" s="42" t="inlineStr"/>
      <c r="F32" s="42" t="inlineStr"/>
      <c r="G32" s="42" t="inlineStr"/>
      <c r="H32" s="42" t="inlineStr"/>
      <c r="I32" s="42" t="inlineStr"/>
      <c r="J32" s="42" t="inlineStr"/>
      <c r="K32" s="42" t="inlineStr"/>
      <c r="L32" s="42" t="inlineStr"/>
      <c r="M32" s="42" t="inlineStr"/>
      <c r="N32" s="42" t="inlineStr"/>
      <c r="O32" s="42" t="inlineStr"/>
      <c r="P32" s="42" t="inlineStr"/>
      <c r="Q32" s="42" t="inlineStr"/>
      <c r="R32" s="42" t="inlineStr"/>
      <c r="S32" s="42" t="inlineStr"/>
      <c r="T32" s="43">
        <f>IFERROR(E32*F32,0)+IFERROR(H32*I32,0)+IFERROR(K32*L32,0)+IFERROR(N32*O32,0)+IFERROR(Q32*R32,0)</f>
        <v/>
      </c>
      <c r="U32" s="44">
        <f>IFERROR(MAX(F32,I32,L32,O32,R32),0)</f>
        <v/>
      </c>
    </row>
    <row r="33" ht="24" customHeight="1">
      <c r="A33" s="52" t="n"/>
      <c r="B33" s="52" t="n"/>
      <c r="C33" s="53" t="inlineStr">
        <is>
          <t>TOTAL DÍA</t>
        </is>
      </c>
      <c r="D33" s="52" t="n"/>
      <c r="E33" s="52" t="n"/>
      <c r="F33" s="52" t="n"/>
      <c r="G33" s="52" t="n"/>
      <c r="H33" s="52" t="n"/>
      <c r="I33" s="52" t="n"/>
      <c r="J33" s="52" t="n"/>
      <c r="K33" s="52" t="n"/>
      <c r="L33" s="52" t="n"/>
      <c r="M33" s="52" t="n"/>
      <c r="N33" s="52" t="n"/>
      <c r="O33" s="52" t="n"/>
      <c r="P33" s="52" t="n"/>
      <c r="Q33" s="52" t="n"/>
      <c r="R33" s="52" t="n"/>
      <c r="S33" s="52" t="n"/>
      <c r="T33" s="54">
        <f>SUM(T24:T32)</f>
        <v/>
      </c>
      <c r="U33" s="55">
        <f>IFERROR(MAX(U24:U32),0)</f>
        <v/>
      </c>
    </row>
    <row r="34" ht="26" customHeight="1">
      <c r="A34" s="24" t="n"/>
      <c r="B34" s="25" t="inlineStr">
        <is>
          <t>Readiness (PRS):</t>
        </is>
      </c>
      <c r="C34" s="24" t="n"/>
      <c r="D34" s="56" t="inlineStr"/>
      <c r="E34" s="24" t="n"/>
      <c r="F34" s="25" t="inlineStr">
        <is>
          <t>RPE Post-Entreno:</t>
        </is>
      </c>
      <c r="G34" s="24" t="n"/>
      <c r="H34" s="56" t="inlineStr"/>
      <c r="I34" s="24" t="n"/>
      <c r="J34" s="25" t="inlineStr">
        <is>
          <t>Notas:</t>
        </is>
      </c>
      <c r="K34" s="57" t="inlineStr"/>
      <c r="L34" s="24" t="n"/>
      <c r="M34" s="24" t="n"/>
      <c r="N34" s="24" t="n"/>
      <c r="O34" s="24" t="n"/>
      <c r="P34" s="24" t="n"/>
      <c r="Q34" s="24" t="n"/>
      <c r="R34" s="24" t="n"/>
      <c r="S34" s="24" t="n"/>
      <c r="T34" s="24" t="n"/>
      <c r="U34" s="24" t="n"/>
    </row>
    <row r="35" ht="6" customHeight="1">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row>
    <row r="36" ht="26" customHeight="1">
      <c r="A36" s="58" t="n"/>
      <c r="B36" s="59" t="inlineStr">
        <is>
          <t>DÍA 3  ,  REST</t>
        </is>
      </c>
      <c r="C36" s="58" t="n"/>
      <c r="D36" s="58" t="n"/>
      <c r="E36" s="58" t="n"/>
      <c r="F36" s="58" t="n"/>
      <c r="G36" s="58" t="n"/>
      <c r="H36" s="58" t="n"/>
      <c r="I36" s="58" t="n"/>
      <c r="J36" s="58" t="n"/>
      <c r="K36" s="58" t="n"/>
      <c r="L36" s="58" t="n"/>
      <c r="M36" s="60" t="inlineStr">
        <is>
          <t>Fecha:</t>
        </is>
      </c>
      <c r="N36" s="61" t="inlineStr"/>
      <c r="O36" s="58" t="n"/>
      <c r="P36" s="60" t="inlineStr">
        <is>
          <t>Valoración:</t>
        </is>
      </c>
      <c r="Q36" s="62" t="inlineStr">
        <is>
          <t>BUENO</t>
        </is>
      </c>
      <c r="R36" s="58" t="n"/>
      <c r="S36" s="58" t="n"/>
      <c r="T36" s="58" t="n"/>
      <c r="U36" s="58" t="n"/>
    </row>
    <row r="37" ht="20" customHeight="1">
      <c r="B37" s="34" t="inlineStr">
        <is>
          <t>#</t>
        </is>
      </c>
      <c r="C37" s="34" t="inlineStr">
        <is>
          <t>EJERCICIO</t>
        </is>
      </c>
      <c r="D37" s="34" t="inlineStr">
        <is>
          <t>PRESCRIPCIÓN</t>
        </is>
      </c>
      <c r="E37" s="35" t="inlineStr">
        <is>
          <t>SERIE 1</t>
        </is>
      </c>
      <c r="F37" s="30" t="n"/>
      <c r="G37" s="30" t="n"/>
      <c r="H37" s="35" t="inlineStr">
        <is>
          <t>SERIE 2</t>
        </is>
      </c>
      <c r="I37" s="30" t="n"/>
      <c r="J37" s="30" t="n"/>
      <c r="K37" s="35" t="inlineStr">
        <is>
          <t>SERIE 3</t>
        </is>
      </c>
      <c r="L37" s="30" t="n"/>
      <c r="M37" s="30" t="n"/>
      <c r="N37" s="35" t="inlineStr">
        <is>
          <t>SERIE 4</t>
        </is>
      </c>
      <c r="O37" s="30" t="n"/>
      <c r="P37" s="30" t="n"/>
      <c r="Q37" s="35" t="inlineStr">
        <is>
          <t>SERIE 5</t>
        </is>
      </c>
      <c r="R37" s="30" t="n"/>
      <c r="S37" s="30" t="n"/>
      <c r="T37" s="34" t="inlineStr">
        <is>
          <t>TONELAJE</t>
        </is>
      </c>
      <c r="U37" s="34" t="inlineStr">
        <is>
          <t>MAX</t>
        </is>
      </c>
    </row>
    <row r="38" ht="16" customHeight="1">
      <c r="B38" s="36" t="inlineStr"/>
      <c r="C38" s="36" t="inlineStr"/>
      <c r="D38" s="36" t="inlineStr"/>
      <c r="E38" s="37" t="inlineStr">
        <is>
          <t>RPS</t>
        </is>
      </c>
      <c r="F38" s="37" t="inlineStr">
        <is>
          <t>KGS</t>
        </is>
      </c>
      <c r="G38" s="37" t="inlineStr">
        <is>
          <t>RIR</t>
        </is>
      </c>
      <c r="H38" s="37" t="inlineStr">
        <is>
          <t>RPS</t>
        </is>
      </c>
      <c r="I38" s="37" t="inlineStr">
        <is>
          <t>KGS</t>
        </is>
      </c>
      <c r="J38" s="37" t="inlineStr">
        <is>
          <t>RIR</t>
        </is>
      </c>
      <c r="K38" s="37" t="inlineStr">
        <is>
          <t>RPS</t>
        </is>
      </c>
      <c r="L38" s="37" t="inlineStr">
        <is>
          <t>KGS</t>
        </is>
      </c>
      <c r="M38" s="37" t="inlineStr">
        <is>
          <t>RIR</t>
        </is>
      </c>
      <c r="N38" s="37" t="inlineStr">
        <is>
          <t>RPS</t>
        </is>
      </c>
      <c r="O38" s="37" t="inlineStr">
        <is>
          <t>KGS</t>
        </is>
      </c>
      <c r="P38" s="37" t="inlineStr">
        <is>
          <t>RIR</t>
        </is>
      </c>
      <c r="Q38" s="37" t="inlineStr">
        <is>
          <t>RPS</t>
        </is>
      </c>
      <c r="R38" s="37" t="inlineStr">
        <is>
          <t>KGS</t>
        </is>
      </c>
      <c r="S38" s="37" t="inlineStr">
        <is>
          <t>RIR</t>
        </is>
      </c>
      <c r="T38" s="36" t="inlineStr"/>
      <c r="U38" s="36" t="inlineStr"/>
    </row>
    <row r="39" ht="22" customHeight="1">
      <c r="A39" s="38" t="n"/>
      <c r="B39" s="39" t="n">
        <v>1</v>
      </c>
      <c r="C39" s="40" t="inlineStr">
        <is>
          <t>ABS + Movilidad</t>
        </is>
      </c>
      <c r="D39" s="41" t="inlineStr"/>
      <c r="E39" s="42" t="inlineStr"/>
      <c r="F39" s="42" t="inlineStr"/>
      <c r="G39" s="42" t="inlineStr"/>
      <c r="H39" s="42" t="inlineStr"/>
      <c r="I39" s="42" t="inlineStr"/>
      <c r="J39" s="42" t="inlineStr"/>
      <c r="K39" s="42" t="inlineStr"/>
      <c r="L39" s="42" t="inlineStr"/>
      <c r="M39" s="42" t="inlineStr"/>
      <c r="N39" s="42" t="inlineStr"/>
      <c r="O39" s="42" t="inlineStr"/>
      <c r="P39" s="42" t="inlineStr"/>
      <c r="Q39" s="42" t="inlineStr"/>
      <c r="R39" s="42" t="inlineStr"/>
      <c r="S39" s="42" t="inlineStr"/>
      <c r="T39" s="43">
        <f>IFERROR(E39*F39,0)+IFERROR(H39*I39,0)+IFERROR(K39*L39,0)+IFERROR(N39*O39,0)+IFERROR(Q39*R39,0)</f>
        <v/>
      </c>
      <c r="U39" s="44">
        <f>IFERROR(MAX(F39,I39,L39,O39,R39),0)</f>
        <v/>
      </c>
    </row>
    <row r="40" ht="22" customHeight="1">
      <c r="A40" s="45" t="n"/>
      <c r="B40" s="46" t="n">
        <v>2</v>
      </c>
      <c r="C40" s="47" t="inlineStr">
        <is>
          <t>Cardio a elegir (Caminar, bici, comba...)</t>
        </is>
      </c>
      <c r="D40" s="48" t="inlineStr"/>
      <c r="E40" s="49" t="inlineStr"/>
      <c r="F40" s="49" t="inlineStr"/>
      <c r="G40" s="49" t="inlineStr"/>
      <c r="H40" s="49" t="inlineStr"/>
      <c r="I40" s="49" t="inlineStr"/>
      <c r="J40" s="49" t="inlineStr"/>
      <c r="K40" s="49" t="inlineStr"/>
      <c r="L40" s="49" t="inlineStr"/>
      <c r="M40" s="49" t="inlineStr"/>
      <c r="N40" s="49" t="inlineStr"/>
      <c r="O40" s="49" t="inlineStr"/>
      <c r="P40" s="49" t="inlineStr"/>
      <c r="Q40" s="49" t="inlineStr"/>
      <c r="R40" s="49" t="inlineStr"/>
      <c r="S40" s="49" t="inlineStr"/>
      <c r="T40" s="50">
        <f>IFERROR(E40*F40,0)+IFERROR(H40*I40,0)+IFERROR(K40*L40,0)+IFERROR(N40*O40,0)+IFERROR(Q40*R40,0)</f>
        <v/>
      </c>
      <c r="U40" s="51">
        <f>IFERROR(MAX(F40,I40,L40,O40,R40),0)</f>
        <v/>
      </c>
    </row>
    <row r="41" ht="22" customHeight="1">
      <c r="A41" s="38" t="n"/>
      <c r="B41" s="39" t="n">
        <v>3</v>
      </c>
      <c r="C41" s="38" t="n"/>
      <c r="D41" s="38" t="n"/>
      <c r="E41" s="42" t="inlineStr"/>
      <c r="F41" s="42" t="inlineStr"/>
      <c r="G41" s="42" t="inlineStr"/>
      <c r="H41" s="42" t="inlineStr"/>
      <c r="I41" s="42" t="inlineStr"/>
      <c r="J41" s="42" t="inlineStr"/>
      <c r="K41" s="42" t="inlineStr"/>
      <c r="L41" s="42" t="inlineStr"/>
      <c r="M41" s="42" t="inlineStr"/>
      <c r="N41" s="42" t="inlineStr"/>
      <c r="O41" s="42" t="inlineStr"/>
      <c r="P41" s="42" t="inlineStr"/>
      <c r="Q41" s="42" t="inlineStr"/>
      <c r="R41" s="42" t="inlineStr"/>
      <c r="S41" s="42" t="inlineStr"/>
      <c r="T41" s="43">
        <f>IFERROR(E41*F41,0)+IFERROR(H41*I41,0)+IFERROR(K41*L41,0)+IFERROR(N41*O41,0)+IFERROR(Q41*R41,0)</f>
        <v/>
      </c>
      <c r="U41" s="44">
        <f>IFERROR(MAX(F41,I41,L41,O41,R41),0)</f>
        <v/>
      </c>
    </row>
    <row r="42" ht="22" customHeight="1">
      <c r="A42" s="45" t="n"/>
      <c r="B42" s="46" t="n">
        <v>4</v>
      </c>
      <c r="C42" s="45" t="n"/>
      <c r="D42" s="45" t="n"/>
      <c r="E42" s="49" t="inlineStr"/>
      <c r="F42" s="49" t="inlineStr"/>
      <c r="G42" s="49" t="inlineStr"/>
      <c r="H42" s="49" t="inlineStr"/>
      <c r="I42" s="49" t="inlineStr"/>
      <c r="J42" s="49" t="inlineStr"/>
      <c r="K42" s="49" t="inlineStr"/>
      <c r="L42" s="49" t="inlineStr"/>
      <c r="M42" s="49" t="inlineStr"/>
      <c r="N42" s="49" t="inlineStr"/>
      <c r="O42" s="49" t="inlineStr"/>
      <c r="P42" s="49" t="inlineStr"/>
      <c r="Q42" s="49" t="inlineStr"/>
      <c r="R42" s="49" t="inlineStr"/>
      <c r="S42" s="49" t="inlineStr"/>
      <c r="T42" s="50">
        <f>IFERROR(E42*F42,0)+IFERROR(H42*I42,0)+IFERROR(K42*L42,0)+IFERROR(N42*O42,0)+IFERROR(Q42*R42,0)</f>
        <v/>
      </c>
      <c r="U42" s="51">
        <f>IFERROR(MAX(F42,I42,L42,O42,R42),0)</f>
        <v/>
      </c>
    </row>
    <row r="43" ht="22" customHeight="1">
      <c r="A43" s="38" t="n"/>
      <c r="B43" s="39" t="n">
        <v>5</v>
      </c>
      <c r="C43" s="38" t="n"/>
      <c r="D43" s="38" t="n"/>
      <c r="E43" s="42" t="inlineStr"/>
      <c r="F43" s="42" t="inlineStr"/>
      <c r="G43" s="42" t="inlineStr"/>
      <c r="H43" s="42" t="inlineStr"/>
      <c r="I43" s="42" t="inlineStr"/>
      <c r="J43" s="42" t="inlineStr"/>
      <c r="K43" s="42" t="inlineStr"/>
      <c r="L43" s="42" t="inlineStr"/>
      <c r="M43" s="42" t="inlineStr"/>
      <c r="N43" s="42" t="inlineStr"/>
      <c r="O43" s="42" t="inlineStr"/>
      <c r="P43" s="42" t="inlineStr"/>
      <c r="Q43" s="42" t="inlineStr"/>
      <c r="R43" s="42" t="inlineStr"/>
      <c r="S43" s="42" t="inlineStr"/>
      <c r="T43" s="43">
        <f>IFERROR(E43*F43,0)+IFERROR(H43*I43,0)+IFERROR(K43*L43,0)+IFERROR(N43*O43,0)+IFERROR(Q43*R43,0)</f>
        <v/>
      </c>
      <c r="U43" s="44">
        <f>IFERROR(MAX(F43,I43,L43,O43,R43),0)</f>
        <v/>
      </c>
    </row>
    <row r="44" ht="24" customHeight="1">
      <c r="A44" s="52" t="n"/>
      <c r="B44" s="52" t="n"/>
      <c r="C44" s="53" t="inlineStr">
        <is>
          <t>TOTAL DÍA</t>
        </is>
      </c>
      <c r="D44" s="52" t="n"/>
      <c r="E44" s="52" t="n"/>
      <c r="F44" s="52" t="n"/>
      <c r="G44" s="52" t="n"/>
      <c r="H44" s="52" t="n"/>
      <c r="I44" s="52" t="n"/>
      <c r="J44" s="52" t="n"/>
      <c r="K44" s="52" t="n"/>
      <c r="L44" s="52" t="n"/>
      <c r="M44" s="52" t="n"/>
      <c r="N44" s="52" t="n"/>
      <c r="O44" s="52" t="n"/>
      <c r="P44" s="52" t="n"/>
      <c r="Q44" s="52" t="n"/>
      <c r="R44" s="52" t="n"/>
      <c r="S44" s="52" t="n"/>
      <c r="T44" s="54">
        <f>SUM(T39:T43)</f>
        <v/>
      </c>
      <c r="U44" s="55">
        <f>IFERROR(MAX(U39:U43),0)</f>
        <v/>
      </c>
    </row>
    <row r="45" ht="26" customHeight="1">
      <c r="A45" s="24" t="n"/>
      <c r="B45" s="25" t="inlineStr">
        <is>
          <t>Readiness (PRS):</t>
        </is>
      </c>
      <c r="C45" s="24" t="n"/>
      <c r="D45" s="56" t="inlineStr"/>
      <c r="E45" s="24" t="n"/>
      <c r="F45" s="25" t="inlineStr">
        <is>
          <t>RPE Post-Entreno:</t>
        </is>
      </c>
      <c r="G45" s="24" t="n"/>
      <c r="H45" s="56" t="inlineStr"/>
      <c r="I45" s="24" t="n"/>
      <c r="J45" s="25" t="inlineStr">
        <is>
          <t>Notas:</t>
        </is>
      </c>
      <c r="K45" s="57" t="inlineStr"/>
      <c r="L45" s="24" t="n"/>
      <c r="M45" s="24" t="n"/>
      <c r="N45" s="24" t="n"/>
      <c r="O45" s="24" t="n"/>
      <c r="P45" s="24" t="n"/>
      <c r="Q45" s="24" t="n"/>
      <c r="R45" s="24" t="n"/>
      <c r="S45" s="24" t="n"/>
      <c r="T45" s="24" t="n"/>
      <c r="U45" s="24" t="n"/>
    </row>
    <row r="46" ht="6" customHeight="1">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row>
    <row r="47" ht="26" customHeight="1">
      <c r="A47" s="30" t="n"/>
      <c r="B47" s="31" t="inlineStr">
        <is>
          <t>DÍA 4  ,  UPPER B</t>
        </is>
      </c>
      <c r="C47" s="30" t="n"/>
      <c r="D47" s="30" t="n"/>
      <c r="E47" s="30" t="n"/>
      <c r="F47" s="30" t="n"/>
      <c r="G47" s="30" t="n"/>
      <c r="H47" s="30" t="n"/>
      <c r="I47" s="30" t="n"/>
      <c r="J47" s="30" t="n"/>
      <c r="K47" s="30" t="n"/>
      <c r="L47" s="30" t="n"/>
      <c r="M47" s="32" t="inlineStr">
        <is>
          <t>Fecha:</t>
        </is>
      </c>
      <c r="N47" s="11" t="inlineStr"/>
      <c r="O47" s="30" t="n"/>
      <c r="P47" s="32" t="inlineStr">
        <is>
          <t>Valoración:</t>
        </is>
      </c>
      <c r="Q47" s="33" t="inlineStr">
        <is>
          <t>BUENO</t>
        </is>
      </c>
      <c r="R47" s="30" t="n"/>
      <c r="S47" s="30" t="n"/>
      <c r="T47" s="30" t="n"/>
      <c r="U47" s="30" t="n"/>
    </row>
    <row r="48" ht="20" customHeight="1">
      <c r="B48" s="34" t="inlineStr">
        <is>
          <t>#</t>
        </is>
      </c>
      <c r="C48" s="34" t="inlineStr">
        <is>
          <t>EJERCICIO</t>
        </is>
      </c>
      <c r="D48" s="34" t="inlineStr">
        <is>
          <t>PRESCRIPCIÓN</t>
        </is>
      </c>
      <c r="E48" s="35" t="inlineStr">
        <is>
          <t>SERIE 1</t>
        </is>
      </c>
      <c r="F48" s="30" t="n"/>
      <c r="G48" s="30" t="n"/>
      <c r="H48" s="35" t="inlineStr">
        <is>
          <t>SERIE 2</t>
        </is>
      </c>
      <c r="I48" s="30" t="n"/>
      <c r="J48" s="30" t="n"/>
      <c r="K48" s="35" t="inlineStr">
        <is>
          <t>SERIE 3</t>
        </is>
      </c>
      <c r="L48" s="30" t="n"/>
      <c r="M48" s="30" t="n"/>
      <c r="N48" s="35" t="inlineStr">
        <is>
          <t>SERIE 4</t>
        </is>
      </c>
      <c r="O48" s="30" t="n"/>
      <c r="P48" s="30" t="n"/>
      <c r="Q48" s="35" t="inlineStr">
        <is>
          <t>SERIE 5</t>
        </is>
      </c>
      <c r="R48" s="30" t="n"/>
      <c r="S48" s="30" t="n"/>
      <c r="T48" s="34" t="inlineStr">
        <is>
          <t>TONELAJE</t>
        </is>
      </c>
      <c r="U48" s="34" t="inlineStr">
        <is>
          <t>MAX</t>
        </is>
      </c>
    </row>
    <row r="49" ht="16" customHeight="1">
      <c r="B49" s="36" t="inlineStr"/>
      <c r="C49" s="36" t="inlineStr"/>
      <c r="D49" s="36" t="inlineStr"/>
      <c r="E49" s="37" t="inlineStr">
        <is>
          <t>RPS</t>
        </is>
      </c>
      <c r="F49" s="37" t="inlineStr">
        <is>
          <t>KGS</t>
        </is>
      </c>
      <c r="G49" s="37" t="inlineStr">
        <is>
          <t>RIR</t>
        </is>
      </c>
      <c r="H49" s="37" t="inlineStr">
        <is>
          <t>RPS</t>
        </is>
      </c>
      <c r="I49" s="37" t="inlineStr">
        <is>
          <t>KGS</t>
        </is>
      </c>
      <c r="J49" s="37" t="inlineStr">
        <is>
          <t>RIR</t>
        </is>
      </c>
      <c r="K49" s="37" t="inlineStr">
        <is>
          <t>RPS</t>
        </is>
      </c>
      <c r="L49" s="37" t="inlineStr">
        <is>
          <t>KGS</t>
        </is>
      </c>
      <c r="M49" s="37" t="inlineStr">
        <is>
          <t>RIR</t>
        </is>
      </c>
      <c r="N49" s="37" t="inlineStr">
        <is>
          <t>RPS</t>
        </is>
      </c>
      <c r="O49" s="37" t="inlineStr">
        <is>
          <t>KGS</t>
        </is>
      </c>
      <c r="P49" s="37" t="inlineStr">
        <is>
          <t>RIR</t>
        </is>
      </c>
      <c r="Q49" s="37" t="inlineStr">
        <is>
          <t>RPS</t>
        </is>
      </c>
      <c r="R49" s="37" t="inlineStr">
        <is>
          <t>KGS</t>
        </is>
      </c>
      <c r="S49" s="37" t="inlineStr">
        <is>
          <t>RIR</t>
        </is>
      </c>
      <c r="T49" s="36" t="inlineStr"/>
      <c r="U49" s="36" t="inlineStr"/>
    </row>
    <row r="50" ht="22" customHeight="1">
      <c r="A50" s="38" t="n"/>
      <c r="B50" s="39" t="n">
        <v>1</v>
      </c>
      <c r="C50" s="40" t="inlineStr">
        <is>
          <t>Curl Bíceps alterno de pie</t>
        </is>
      </c>
      <c r="D50" s="41" t="inlineStr">
        <is>
          <t>3×8-10 RPS , RiR 1</t>
        </is>
      </c>
      <c r="E50" s="39" t="n">
        <v>9</v>
      </c>
      <c r="F50" s="39" t="n">
        <v>15</v>
      </c>
      <c r="G50" s="39" t="n">
        <v>1</v>
      </c>
      <c r="H50" s="39" t="n">
        <v>8</v>
      </c>
      <c r="I50" s="39" t="n">
        <v>15</v>
      </c>
      <c r="J50" s="39" t="n">
        <v>1</v>
      </c>
      <c r="K50" s="39" t="n">
        <v>9</v>
      </c>
      <c r="L50" s="39" t="n">
        <v>12.5</v>
      </c>
      <c r="M50" s="39" t="n">
        <v>1</v>
      </c>
      <c r="N50" s="42" t="inlineStr"/>
      <c r="O50" s="42" t="inlineStr"/>
      <c r="P50" s="42" t="inlineStr"/>
      <c r="Q50" s="42" t="inlineStr"/>
      <c r="R50" s="42" t="inlineStr"/>
      <c r="S50" s="42" t="inlineStr"/>
      <c r="T50" s="43">
        <f>IFERROR(E50*F50,0)+IFERROR(H50*I50,0)+IFERROR(K50*L50,0)+IFERROR(N50*O50,0)+IFERROR(Q50*R50,0)</f>
        <v/>
      </c>
      <c r="U50" s="44">
        <f>IFERROR(MAX(F50,I50,L50,O50,R50),0)</f>
        <v/>
      </c>
    </row>
    <row r="51" ht="22" customHeight="1">
      <c r="A51" s="45" t="n"/>
      <c r="B51" s="46" t="n">
        <v>2</v>
      </c>
      <c r="C51" s="47" t="inlineStr">
        <is>
          <t>Kaz Press</t>
        </is>
      </c>
      <c r="D51" s="48" t="inlineStr">
        <is>
          <t>3×8-10 RPS , RiR 1</t>
        </is>
      </c>
      <c r="E51" s="46" t="n">
        <v>9</v>
      </c>
      <c r="F51" s="46" t="n">
        <v>12.5</v>
      </c>
      <c r="G51" s="46" t="n">
        <v>1</v>
      </c>
      <c r="H51" s="46" t="n">
        <v>8</v>
      </c>
      <c r="I51" s="46" t="n">
        <v>12.5</v>
      </c>
      <c r="J51" s="46" t="n">
        <v>1</v>
      </c>
      <c r="K51" s="46" t="n">
        <v>9</v>
      </c>
      <c r="L51" s="46" t="n">
        <v>10</v>
      </c>
      <c r="M51" s="46" t="n">
        <v>1</v>
      </c>
      <c r="N51" s="49" t="inlineStr"/>
      <c r="O51" s="49" t="inlineStr"/>
      <c r="P51" s="49" t="inlineStr"/>
      <c r="Q51" s="49" t="inlineStr"/>
      <c r="R51" s="49" t="inlineStr"/>
      <c r="S51" s="49" t="inlineStr"/>
      <c r="T51" s="50">
        <f>IFERROR(E51*F51,0)+IFERROR(H51*I51,0)+IFERROR(K51*L51,0)+IFERROR(N51*O51,0)+IFERROR(Q51*R51,0)</f>
        <v/>
      </c>
      <c r="U51" s="51">
        <f>IFERROR(MAX(F51,I51,L51,O51,R51),0)</f>
        <v/>
      </c>
    </row>
    <row r="52" ht="22" customHeight="1">
      <c r="A52" s="38" t="n"/>
      <c r="B52" s="39" t="n">
        <v>3</v>
      </c>
      <c r="C52" s="40" t="inlineStr">
        <is>
          <t>Curl Predicador Scott en polea</t>
        </is>
      </c>
      <c r="D52" s="41" t="inlineStr">
        <is>
          <t>2×10-12 RPS , RiR 1</t>
        </is>
      </c>
      <c r="E52" s="39" t="n">
        <v>11</v>
      </c>
      <c r="F52" s="39" t="n">
        <v>40</v>
      </c>
      <c r="G52" s="39" t="n">
        <v>1</v>
      </c>
      <c r="H52" s="39" t="n">
        <v>10</v>
      </c>
      <c r="I52" s="39" t="n">
        <v>40</v>
      </c>
      <c r="J52" s="39" t="n">
        <v>1</v>
      </c>
      <c r="K52" s="42" t="inlineStr"/>
      <c r="L52" s="42" t="inlineStr"/>
      <c r="M52" s="42" t="inlineStr"/>
      <c r="N52" s="42" t="inlineStr"/>
      <c r="O52" s="42" t="inlineStr"/>
      <c r="P52" s="42" t="inlineStr"/>
      <c r="Q52" s="42" t="inlineStr"/>
      <c r="R52" s="42" t="inlineStr"/>
      <c r="S52" s="42" t="inlineStr"/>
      <c r="T52" s="43">
        <f>IFERROR(E52*F52,0)+IFERROR(H52*I52,0)+IFERROR(K52*L52,0)+IFERROR(N52*O52,0)+IFERROR(Q52*R52,0)</f>
        <v/>
      </c>
      <c r="U52" s="44">
        <f>IFERROR(MAX(F52,I52,L52,O52,R52),0)</f>
        <v/>
      </c>
    </row>
    <row r="53" ht="22" customHeight="1">
      <c r="A53" s="45" t="n"/>
      <c r="B53" s="46" t="n">
        <v>4</v>
      </c>
      <c r="C53" s="47" t="inlineStr">
        <is>
          <t>Extensiones Katana con cuerda</t>
        </is>
      </c>
      <c r="D53" s="48" t="inlineStr">
        <is>
          <t>2×10-12 RPS , RiR 1</t>
        </is>
      </c>
      <c r="E53" s="46" t="n">
        <v>11</v>
      </c>
      <c r="F53" s="46" t="n">
        <v>40</v>
      </c>
      <c r="G53" s="46" t="n">
        <v>1</v>
      </c>
      <c r="H53" s="46" t="n">
        <v>10</v>
      </c>
      <c r="I53" s="46" t="n">
        <v>40</v>
      </c>
      <c r="J53" s="46" t="n">
        <v>1</v>
      </c>
      <c r="K53" s="49" t="inlineStr"/>
      <c r="L53" s="49" t="inlineStr"/>
      <c r="M53" s="49" t="inlineStr"/>
      <c r="N53" s="49" t="inlineStr"/>
      <c r="O53" s="49" t="inlineStr"/>
      <c r="P53" s="49" t="inlineStr"/>
      <c r="Q53" s="49" t="inlineStr"/>
      <c r="R53" s="49" t="inlineStr"/>
      <c r="S53" s="49" t="inlineStr"/>
      <c r="T53" s="50">
        <f>IFERROR(E53*F53,0)+IFERROR(H53*I53,0)+IFERROR(K53*L53,0)+IFERROR(N53*O53,0)+IFERROR(Q53*R53,0)</f>
        <v/>
      </c>
      <c r="U53" s="51">
        <f>IFERROR(MAX(F53,I53,L53,O53,R53),0)</f>
        <v/>
      </c>
    </row>
    <row r="54" ht="22" customHeight="1">
      <c r="A54" s="38" t="n"/>
      <c r="B54" s="39" t="n">
        <v>5</v>
      </c>
      <c r="C54" s="40" t="inlineStr">
        <is>
          <t>Jalón Alto Agarre U</t>
        </is>
      </c>
      <c r="D54" s="41" t="inlineStr">
        <is>
          <t>3×8-10 RPS , RiR 1</t>
        </is>
      </c>
      <c r="E54" s="39" t="n">
        <v>8</v>
      </c>
      <c r="F54" s="39" t="n">
        <v>70</v>
      </c>
      <c r="G54" s="39" t="n">
        <v>1</v>
      </c>
      <c r="H54" s="39" t="n">
        <v>9</v>
      </c>
      <c r="I54" s="39" t="n">
        <v>65</v>
      </c>
      <c r="J54" s="39" t="n">
        <v>1</v>
      </c>
      <c r="K54" s="39" t="n">
        <v>8</v>
      </c>
      <c r="L54" s="39" t="n">
        <v>65</v>
      </c>
      <c r="M54" s="39" t="n">
        <v>1</v>
      </c>
      <c r="N54" s="42" t="inlineStr"/>
      <c r="O54" s="42" t="inlineStr"/>
      <c r="P54" s="42" t="inlineStr"/>
      <c r="Q54" s="42" t="inlineStr"/>
      <c r="R54" s="42" t="inlineStr"/>
      <c r="S54" s="42" t="inlineStr"/>
      <c r="T54" s="43">
        <f>IFERROR(E54*F54,0)+IFERROR(H54*I54,0)+IFERROR(K54*L54,0)+IFERROR(N54*O54,0)+IFERROR(Q54*R54,0)</f>
        <v/>
      </c>
      <c r="U54" s="44">
        <f>IFERROR(MAX(F54,I54,L54,O54,R54),0)</f>
        <v/>
      </c>
    </row>
    <row r="55" ht="22" customHeight="1">
      <c r="A55" s="45" t="n"/>
      <c r="B55" s="46" t="n">
        <v>6</v>
      </c>
      <c r="C55" s="47" t="inlineStr">
        <is>
          <t>Press Inclinado Mancuernas</t>
        </is>
      </c>
      <c r="D55" s="48" t="inlineStr">
        <is>
          <t>3×8-10 RPS , RiR 1</t>
        </is>
      </c>
      <c r="E55" s="46" t="n">
        <v>8</v>
      </c>
      <c r="F55" s="46" t="n">
        <v>30</v>
      </c>
      <c r="G55" s="46" t="n">
        <v>1</v>
      </c>
      <c r="H55" s="46" t="n">
        <v>9</v>
      </c>
      <c r="I55" s="46" t="n">
        <v>27.5</v>
      </c>
      <c r="J55" s="46" t="n">
        <v>1</v>
      </c>
      <c r="K55" s="46" t="n">
        <v>8</v>
      </c>
      <c r="L55" s="46" t="n">
        <v>27.5</v>
      </c>
      <c r="M55" s="46" t="n">
        <v>1</v>
      </c>
      <c r="N55" s="49" t="inlineStr"/>
      <c r="O55" s="49" t="inlineStr"/>
      <c r="P55" s="49" t="inlineStr"/>
      <c r="Q55" s="49" t="inlineStr"/>
      <c r="R55" s="49" t="inlineStr"/>
      <c r="S55" s="49" t="inlineStr"/>
      <c r="T55" s="50">
        <f>IFERROR(E55*F55,0)+IFERROR(H55*I55,0)+IFERROR(K55*L55,0)+IFERROR(N55*O55,0)+IFERROR(Q55*R55,0)</f>
        <v/>
      </c>
      <c r="U55" s="51">
        <f>IFERROR(MAX(F55,I55,L55,O55,R55),0)</f>
        <v/>
      </c>
    </row>
    <row r="56" ht="22" customHeight="1">
      <c r="A56" s="38" t="n"/>
      <c r="B56" s="39" t="n">
        <v>7</v>
      </c>
      <c r="C56" s="40" t="inlineStr">
        <is>
          <t>Remo T agarre ancho</t>
        </is>
      </c>
      <c r="D56" s="41" t="inlineStr">
        <is>
          <t>3×8-10 RPS , RiR 1</t>
        </is>
      </c>
      <c r="E56" s="39" t="n">
        <v>8</v>
      </c>
      <c r="F56" s="39" t="n">
        <v>60</v>
      </c>
      <c r="G56" s="39" t="n">
        <v>1</v>
      </c>
      <c r="H56" s="39" t="n">
        <v>8</v>
      </c>
      <c r="I56" s="39" t="n">
        <v>55</v>
      </c>
      <c r="J56" s="39" t="n">
        <v>1</v>
      </c>
      <c r="K56" s="39" t="n">
        <v>8</v>
      </c>
      <c r="L56" s="39" t="n">
        <v>50</v>
      </c>
      <c r="M56" s="39" t="n">
        <v>1</v>
      </c>
      <c r="N56" s="42" t="inlineStr"/>
      <c r="O56" s="42" t="inlineStr"/>
      <c r="P56" s="42" t="inlineStr"/>
      <c r="Q56" s="42" t="inlineStr"/>
      <c r="R56" s="42" t="inlineStr"/>
      <c r="S56" s="42" t="inlineStr"/>
      <c r="T56" s="43">
        <f>IFERROR(E56*F56,0)+IFERROR(H56*I56,0)+IFERROR(K56*L56,0)+IFERROR(N56*O56,0)+IFERROR(Q56*R56,0)</f>
        <v/>
      </c>
      <c r="U56" s="44">
        <f>IFERROR(MAX(F56,I56,L56,O56,R56),0)</f>
        <v/>
      </c>
    </row>
    <row r="57" ht="22" customHeight="1">
      <c r="A57" s="45" t="n"/>
      <c r="B57" s="46" t="n">
        <v>8</v>
      </c>
      <c r="C57" s="47" t="inlineStr">
        <is>
          <t>Aperturas Bayesian Neutra</t>
        </is>
      </c>
      <c r="D57" s="48" t="inlineStr">
        <is>
          <t>2×12-15 RPS , RiR 1</t>
        </is>
      </c>
      <c r="E57" s="46" t="n">
        <v>13</v>
      </c>
      <c r="F57" s="46" t="n">
        <v>60</v>
      </c>
      <c r="G57" s="46" t="n">
        <v>1</v>
      </c>
      <c r="H57" s="46" t="n">
        <v>12</v>
      </c>
      <c r="I57" s="46" t="n">
        <v>60</v>
      </c>
      <c r="J57" s="46" t="n">
        <v>1</v>
      </c>
      <c r="K57" s="49" t="inlineStr"/>
      <c r="L57" s="49" t="inlineStr"/>
      <c r="M57" s="49" t="inlineStr"/>
      <c r="N57" s="49" t="inlineStr"/>
      <c r="O57" s="49" t="inlineStr"/>
      <c r="P57" s="49" t="inlineStr"/>
      <c r="Q57" s="49" t="inlineStr"/>
      <c r="R57" s="49" t="inlineStr"/>
      <c r="S57" s="49" t="inlineStr"/>
      <c r="T57" s="50">
        <f>IFERROR(E57*F57,0)+IFERROR(H57*I57,0)+IFERROR(K57*L57,0)+IFERROR(N57*O57,0)+IFERROR(Q57*R57,0)</f>
        <v/>
      </c>
      <c r="U57" s="51">
        <f>IFERROR(MAX(F57,I57,L57,O57,R57),0)</f>
        <v/>
      </c>
    </row>
    <row r="58" ht="22" customHeight="1">
      <c r="A58" s="38" t="n"/>
      <c r="B58" s="39" t="n">
        <v>9</v>
      </c>
      <c r="C58" s="38" t="n"/>
      <c r="D58" s="38" t="n"/>
      <c r="E58" s="42" t="inlineStr"/>
      <c r="F58" s="42" t="inlineStr"/>
      <c r="G58" s="42" t="inlineStr"/>
      <c r="H58" s="42" t="inlineStr"/>
      <c r="I58" s="42" t="inlineStr"/>
      <c r="J58" s="42" t="inlineStr"/>
      <c r="K58" s="42" t="inlineStr"/>
      <c r="L58" s="42" t="inlineStr"/>
      <c r="M58" s="42" t="inlineStr"/>
      <c r="N58" s="42" t="inlineStr"/>
      <c r="O58" s="42" t="inlineStr"/>
      <c r="P58" s="42" t="inlineStr"/>
      <c r="Q58" s="42" t="inlineStr"/>
      <c r="R58" s="42" t="inlineStr"/>
      <c r="S58" s="42" t="inlineStr"/>
      <c r="T58" s="43">
        <f>IFERROR(E58*F58,0)+IFERROR(H58*I58,0)+IFERROR(K58*L58,0)+IFERROR(N58*O58,0)+IFERROR(Q58*R58,0)</f>
        <v/>
      </c>
      <c r="U58" s="44">
        <f>IFERROR(MAX(F58,I58,L58,O58,R58),0)</f>
        <v/>
      </c>
    </row>
    <row r="59" ht="22" customHeight="1">
      <c r="A59" s="45" t="n"/>
      <c r="B59" s="46" t="n">
        <v>10</v>
      </c>
      <c r="C59" s="45" t="n"/>
      <c r="D59" s="45" t="n"/>
      <c r="E59" s="49" t="inlineStr"/>
      <c r="F59" s="49" t="inlineStr"/>
      <c r="G59" s="49" t="inlineStr"/>
      <c r="H59" s="49" t="inlineStr"/>
      <c r="I59" s="49" t="inlineStr"/>
      <c r="J59" s="49" t="inlineStr"/>
      <c r="K59" s="49" t="inlineStr"/>
      <c r="L59" s="49" t="inlineStr"/>
      <c r="M59" s="49" t="inlineStr"/>
      <c r="N59" s="49" t="inlineStr"/>
      <c r="O59" s="49" t="inlineStr"/>
      <c r="P59" s="49" t="inlineStr"/>
      <c r="Q59" s="49" t="inlineStr"/>
      <c r="R59" s="49" t="inlineStr"/>
      <c r="S59" s="49" t="inlineStr"/>
      <c r="T59" s="50">
        <f>IFERROR(E59*F59,0)+IFERROR(H59*I59,0)+IFERROR(K59*L59,0)+IFERROR(N59*O59,0)+IFERROR(Q59*R59,0)</f>
        <v/>
      </c>
      <c r="U59" s="51">
        <f>IFERROR(MAX(F59,I59,L59,O59,R59),0)</f>
        <v/>
      </c>
    </row>
    <row r="60" ht="22" customHeight="1">
      <c r="A60" s="38" t="n"/>
      <c r="B60" s="39" t="n">
        <v>11</v>
      </c>
      <c r="C60" s="38" t="n"/>
      <c r="D60" s="38" t="n"/>
      <c r="E60" s="42" t="inlineStr"/>
      <c r="F60" s="42" t="inlineStr"/>
      <c r="G60" s="42" t="inlineStr"/>
      <c r="H60" s="42" t="inlineStr"/>
      <c r="I60" s="42" t="inlineStr"/>
      <c r="J60" s="42" t="inlineStr"/>
      <c r="K60" s="42" t="inlineStr"/>
      <c r="L60" s="42" t="inlineStr"/>
      <c r="M60" s="42" t="inlineStr"/>
      <c r="N60" s="42" t="inlineStr"/>
      <c r="O60" s="42" t="inlineStr"/>
      <c r="P60" s="42" t="inlineStr"/>
      <c r="Q60" s="42" t="inlineStr"/>
      <c r="R60" s="42" t="inlineStr"/>
      <c r="S60" s="42" t="inlineStr"/>
      <c r="T60" s="43">
        <f>IFERROR(E60*F60,0)+IFERROR(H60*I60,0)+IFERROR(K60*L60,0)+IFERROR(N60*O60,0)+IFERROR(Q60*R60,0)</f>
        <v/>
      </c>
      <c r="U60" s="44">
        <f>IFERROR(MAX(F60,I60,L60,O60,R60),0)</f>
        <v/>
      </c>
    </row>
    <row r="61" ht="24" customHeight="1">
      <c r="A61" s="52" t="n"/>
      <c r="B61" s="52" t="n"/>
      <c r="C61" s="53" t="inlineStr">
        <is>
          <t>TOTAL DÍA</t>
        </is>
      </c>
      <c r="D61" s="52" t="n"/>
      <c r="E61" s="52" t="n"/>
      <c r="F61" s="52" t="n"/>
      <c r="G61" s="52" t="n"/>
      <c r="H61" s="52" t="n"/>
      <c r="I61" s="52" t="n"/>
      <c r="J61" s="52" t="n"/>
      <c r="K61" s="52" t="n"/>
      <c r="L61" s="52" t="n"/>
      <c r="M61" s="52" t="n"/>
      <c r="N61" s="52" t="n"/>
      <c r="O61" s="52" t="n"/>
      <c r="P61" s="52" t="n"/>
      <c r="Q61" s="52" t="n"/>
      <c r="R61" s="52" t="n"/>
      <c r="S61" s="52" t="n"/>
      <c r="T61" s="54">
        <f>SUM(T50:T60)</f>
        <v/>
      </c>
      <c r="U61" s="55">
        <f>IFERROR(MAX(U50:U60),0)</f>
        <v/>
      </c>
    </row>
    <row r="62" ht="26" customHeight="1">
      <c r="A62" s="24" t="n"/>
      <c r="B62" s="25" t="inlineStr">
        <is>
          <t>Readiness (PRS):</t>
        </is>
      </c>
      <c r="C62" s="24" t="n"/>
      <c r="D62" s="56" t="inlineStr"/>
      <c r="E62" s="24" t="n"/>
      <c r="F62" s="25" t="inlineStr">
        <is>
          <t>RPE Post-Entreno:</t>
        </is>
      </c>
      <c r="G62" s="24" t="n"/>
      <c r="H62" s="56" t="inlineStr"/>
      <c r="I62" s="24" t="n"/>
      <c r="J62" s="25" t="inlineStr">
        <is>
          <t>Notas:</t>
        </is>
      </c>
      <c r="K62" s="57" t="inlineStr"/>
      <c r="L62" s="24" t="n"/>
      <c r="M62" s="24" t="n"/>
      <c r="N62" s="24" t="n"/>
      <c r="O62" s="24" t="n"/>
      <c r="P62" s="24" t="n"/>
      <c r="Q62" s="24" t="n"/>
      <c r="R62" s="24" t="n"/>
      <c r="S62" s="24" t="n"/>
      <c r="T62" s="24" t="n"/>
      <c r="U62" s="24" t="n"/>
    </row>
    <row r="63" ht="6" customHeight="1">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row>
    <row r="64" ht="26" customHeight="1">
      <c r="A64" s="30" t="n"/>
      <c r="B64" s="31" t="inlineStr">
        <is>
          <t>DÍA 5  ,  LEG B</t>
        </is>
      </c>
      <c r="C64" s="30" t="n"/>
      <c r="D64" s="30" t="n"/>
      <c r="E64" s="30" t="n"/>
      <c r="F64" s="30" t="n"/>
      <c r="G64" s="30" t="n"/>
      <c r="H64" s="30" t="n"/>
      <c r="I64" s="30" t="n"/>
      <c r="J64" s="30" t="n"/>
      <c r="K64" s="30" t="n"/>
      <c r="L64" s="30" t="n"/>
      <c r="M64" s="32" t="inlineStr">
        <is>
          <t>Fecha:</t>
        </is>
      </c>
      <c r="N64" s="11" t="inlineStr"/>
      <c r="O64" s="30" t="n"/>
      <c r="P64" s="32" t="inlineStr">
        <is>
          <t>Valoración:</t>
        </is>
      </c>
      <c r="Q64" s="33" t="inlineStr">
        <is>
          <t>BUENO</t>
        </is>
      </c>
      <c r="R64" s="30" t="n"/>
      <c r="S64" s="30" t="n"/>
      <c r="T64" s="30" t="n"/>
      <c r="U64" s="30" t="n"/>
    </row>
    <row r="65" ht="20" customHeight="1">
      <c r="B65" s="34" t="inlineStr">
        <is>
          <t>#</t>
        </is>
      </c>
      <c r="C65" s="34" t="inlineStr">
        <is>
          <t>EJERCICIO</t>
        </is>
      </c>
      <c r="D65" s="34" t="inlineStr">
        <is>
          <t>PRESCRIPCIÓN</t>
        </is>
      </c>
      <c r="E65" s="35" t="inlineStr">
        <is>
          <t>SERIE 1</t>
        </is>
      </c>
      <c r="F65" s="30" t="n"/>
      <c r="G65" s="30" t="n"/>
      <c r="H65" s="35" t="inlineStr">
        <is>
          <t>SERIE 2</t>
        </is>
      </c>
      <c r="I65" s="30" t="n"/>
      <c r="J65" s="30" t="n"/>
      <c r="K65" s="35" t="inlineStr">
        <is>
          <t>SERIE 3</t>
        </is>
      </c>
      <c r="L65" s="30" t="n"/>
      <c r="M65" s="30" t="n"/>
      <c r="N65" s="35" t="inlineStr">
        <is>
          <t>SERIE 4</t>
        </is>
      </c>
      <c r="O65" s="30" t="n"/>
      <c r="P65" s="30" t="n"/>
      <c r="Q65" s="35" t="inlineStr">
        <is>
          <t>SERIE 5</t>
        </is>
      </c>
      <c r="R65" s="30" t="n"/>
      <c r="S65" s="30" t="n"/>
      <c r="T65" s="34" t="inlineStr">
        <is>
          <t>TONELAJE</t>
        </is>
      </c>
      <c r="U65" s="34" t="inlineStr">
        <is>
          <t>MAX</t>
        </is>
      </c>
    </row>
    <row r="66" ht="16" customHeight="1">
      <c r="B66" s="36" t="inlineStr"/>
      <c r="C66" s="36" t="inlineStr"/>
      <c r="D66" s="36" t="inlineStr"/>
      <c r="E66" s="37" t="inlineStr">
        <is>
          <t>RPS</t>
        </is>
      </c>
      <c r="F66" s="37" t="inlineStr">
        <is>
          <t>KGS</t>
        </is>
      </c>
      <c r="G66" s="37" t="inlineStr">
        <is>
          <t>RIR</t>
        </is>
      </c>
      <c r="H66" s="37" t="inlineStr">
        <is>
          <t>RPS</t>
        </is>
      </c>
      <c r="I66" s="37" t="inlineStr">
        <is>
          <t>KGS</t>
        </is>
      </c>
      <c r="J66" s="37" t="inlineStr">
        <is>
          <t>RIR</t>
        </is>
      </c>
      <c r="K66" s="37" t="inlineStr">
        <is>
          <t>RPS</t>
        </is>
      </c>
      <c r="L66" s="37" t="inlineStr">
        <is>
          <t>KGS</t>
        </is>
      </c>
      <c r="M66" s="37" t="inlineStr">
        <is>
          <t>RIR</t>
        </is>
      </c>
      <c r="N66" s="37" t="inlineStr">
        <is>
          <t>RPS</t>
        </is>
      </c>
      <c r="O66" s="37" t="inlineStr">
        <is>
          <t>KGS</t>
        </is>
      </c>
      <c r="P66" s="37" t="inlineStr">
        <is>
          <t>RIR</t>
        </is>
      </c>
      <c r="Q66" s="37" t="inlineStr">
        <is>
          <t>RPS</t>
        </is>
      </c>
      <c r="R66" s="37" t="inlineStr">
        <is>
          <t>KGS</t>
        </is>
      </c>
      <c r="S66" s="37" t="inlineStr">
        <is>
          <t>RIR</t>
        </is>
      </c>
      <c r="T66" s="36" t="inlineStr"/>
      <c r="U66" s="36" t="inlineStr"/>
    </row>
    <row r="67" ht="22" customHeight="1">
      <c r="A67" s="38" t="n"/>
      <c r="B67" s="39" t="n">
        <v>1</v>
      </c>
      <c r="C67" s="40" t="inlineStr">
        <is>
          <t>Abducción + Aducción</t>
        </is>
      </c>
      <c r="D67" s="41" t="inlineStr">
        <is>
          <t>2×12-15 RPS , RiR 1</t>
        </is>
      </c>
      <c r="E67" s="39" t="inlineStr">
        <is>
          <t>12|12</t>
        </is>
      </c>
      <c r="F67" s="39" t="n">
        <v>68</v>
      </c>
      <c r="G67" s="39" t="n">
        <v>1</v>
      </c>
      <c r="H67" s="39" t="inlineStr">
        <is>
          <t>13|13</t>
        </is>
      </c>
      <c r="I67" s="39" t="n">
        <v>61</v>
      </c>
      <c r="J67" s="39" t="n">
        <v>1</v>
      </c>
      <c r="K67" s="42" t="inlineStr"/>
      <c r="L67" s="42" t="inlineStr"/>
      <c r="M67" s="42" t="inlineStr"/>
      <c r="N67" s="42" t="inlineStr"/>
      <c r="O67" s="42" t="inlineStr"/>
      <c r="P67" s="42" t="inlineStr"/>
      <c r="Q67" s="42" t="inlineStr"/>
      <c r="R67" s="42" t="inlineStr"/>
      <c r="S67" s="42" t="inlineStr"/>
      <c r="T67" s="43">
        <f>IFERROR(E67*F67,0)+IFERROR(H67*I67,0)+IFERROR(K67*L67,0)+IFERROR(N67*O67,0)+IFERROR(Q67*R67,0)</f>
        <v/>
      </c>
      <c r="U67" s="44">
        <f>IFERROR(MAX(F67,I67,L67,O67,R67),0)</f>
        <v/>
      </c>
    </row>
    <row r="68" ht="22" customHeight="1">
      <c r="A68" s="45" t="n"/>
      <c r="B68" s="46" t="n">
        <v>2</v>
      </c>
      <c r="C68" s="47" t="inlineStr">
        <is>
          <t>Peso Muerto Rumano</t>
        </is>
      </c>
      <c r="D68" s="48" t="inlineStr">
        <is>
          <t>1TS 5-7 RiR0 + 2BO 8-10 RiR1</t>
        </is>
      </c>
      <c r="E68" s="46" t="n">
        <v>5</v>
      </c>
      <c r="F68" s="46" t="n">
        <v>140</v>
      </c>
      <c r="G68" s="46" t="n">
        <v>0</v>
      </c>
      <c r="H68" s="46" t="n">
        <v>9</v>
      </c>
      <c r="I68" s="46" t="n">
        <v>120</v>
      </c>
      <c r="J68" s="46" t="n">
        <v>1</v>
      </c>
      <c r="K68" s="46" t="n">
        <v>8</v>
      </c>
      <c r="L68" s="46" t="n">
        <v>120</v>
      </c>
      <c r="M68" s="46" t="n">
        <v>1</v>
      </c>
      <c r="N68" s="49" t="inlineStr"/>
      <c r="O68" s="49" t="inlineStr"/>
      <c r="P68" s="49" t="inlineStr"/>
      <c r="Q68" s="49" t="inlineStr"/>
      <c r="R68" s="49" t="inlineStr"/>
      <c r="S68" s="49" t="inlineStr"/>
      <c r="T68" s="50">
        <f>IFERROR(E68*F68,0)+IFERROR(H68*I68,0)+IFERROR(K68*L68,0)+IFERROR(N68*O68,0)+IFERROR(Q68*R68,0)</f>
        <v/>
      </c>
      <c r="U68" s="51">
        <f>IFERROR(MAX(F68,I68,L68,O68,R68),0)</f>
        <v/>
      </c>
    </row>
    <row r="69" ht="22" customHeight="1">
      <c r="A69" s="38" t="n"/>
      <c r="B69" s="39" t="n">
        <v>3</v>
      </c>
      <c r="C69" s="40" t="inlineStr">
        <is>
          <t>Femoral Sentado</t>
        </is>
      </c>
      <c r="D69" s="41" t="inlineStr">
        <is>
          <t>3×8-10 RPS , RiR 1</t>
        </is>
      </c>
      <c r="E69" s="39" t="n">
        <v>9</v>
      </c>
      <c r="F69" s="39" t="n">
        <v>107</v>
      </c>
      <c r="G69" s="39" t="n">
        <v>1</v>
      </c>
      <c r="H69" s="39" t="n">
        <v>9</v>
      </c>
      <c r="I69" s="39" t="n">
        <v>104</v>
      </c>
      <c r="J69" s="39" t="n">
        <v>1</v>
      </c>
      <c r="K69" s="39" t="n">
        <v>9</v>
      </c>
      <c r="L69" s="39" t="n">
        <v>96</v>
      </c>
      <c r="M69" s="39" t="n">
        <v>1</v>
      </c>
      <c r="N69" s="42" t="inlineStr"/>
      <c r="O69" s="42" t="inlineStr"/>
      <c r="P69" s="42" t="inlineStr"/>
      <c r="Q69" s="42" t="inlineStr"/>
      <c r="R69" s="42" t="inlineStr"/>
      <c r="S69" s="42" t="inlineStr"/>
      <c r="T69" s="43">
        <f>IFERROR(E69*F69,0)+IFERROR(H69*I69,0)+IFERROR(K69*L69,0)+IFERROR(N69*O69,0)+IFERROR(Q69*R69,0)</f>
        <v/>
      </c>
      <c r="U69" s="44">
        <f>IFERROR(MAX(F69,I69,L69,O69,R69),0)</f>
        <v/>
      </c>
    </row>
    <row r="70" ht="22" customHeight="1">
      <c r="A70" s="45" t="n"/>
      <c r="B70" s="46" t="n">
        <v>4</v>
      </c>
      <c r="C70" s="47" t="inlineStr">
        <is>
          <t>Extensiones de Cuádriceps</t>
        </is>
      </c>
      <c r="D70" s="48" t="inlineStr">
        <is>
          <t>2×12-15 RPS , RiR 1</t>
        </is>
      </c>
      <c r="E70" s="49" t="inlineStr"/>
      <c r="F70" s="49" t="inlineStr"/>
      <c r="G70" s="49" t="inlineStr"/>
      <c r="H70" s="49" t="inlineStr"/>
      <c r="I70" s="49" t="inlineStr"/>
      <c r="J70" s="49" t="inlineStr"/>
      <c r="K70" s="49" t="inlineStr"/>
      <c r="L70" s="49" t="inlineStr"/>
      <c r="M70" s="49" t="inlineStr"/>
      <c r="N70" s="49" t="inlineStr"/>
      <c r="O70" s="49" t="inlineStr"/>
      <c r="P70" s="49" t="inlineStr"/>
      <c r="Q70" s="49" t="inlineStr"/>
      <c r="R70" s="49" t="inlineStr"/>
      <c r="S70" s="49" t="inlineStr"/>
      <c r="T70" s="50">
        <f>IFERROR(E70*F70,0)+IFERROR(H70*I70,0)+IFERROR(K70*L70,0)+IFERROR(N70*O70,0)+IFERROR(Q70*R70,0)</f>
        <v/>
      </c>
      <c r="U70" s="51">
        <f>IFERROR(MAX(F70,I70,L70,O70,R70),0)</f>
        <v/>
      </c>
    </row>
    <row r="71" ht="22" customHeight="1">
      <c r="A71" s="38" t="n"/>
      <c r="B71" s="39" t="n">
        <v>5</v>
      </c>
      <c r="C71" s="40" t="inlineStr">
        <is>
          <t>Elev. laterales pie en polea</t>
        </is>
      </c>
      <c r="D71" s="41" t="inlineStr">
        <is>
          <t>3×12-15 RPS , RiR 0-1</t>
        </is>
      </c>
      <c r="E71" s="39" t="n">
        <v>14</v>
      </c>
      <c r="F71" s="39" t="n">
        <v>10</v>
      </c>
      <c r="G71" s="39" t="n">
        <v>1</v>
      </c>
      <c r="H71" s="39" t="n">
        <v>12</v>
      </c>
      <c r="I71" s="39" t="n">
        <v>10</v>
      </c>
      <c r="J71" s="39" t="n">
        <v>1</v>
      </c>
      <c r="K71" s="39" t="n">
        <v>14</v>
      </c>
      <c r="L71" s="39" t="n">
        <v>7.5</v>
      </c>
      <c r="M71" s="39" t="n">
        <v>1</v>
      </c>
      <c r="N71" s="42" t="inlineStr"/>
      <c r="O71" s="42" t="inlineStr"/>
      <c r="P71" s="42" t="inlineStr"/>
      <c r="Q71" s="42" t="inlineStr"/>
      <c r="R71" s="42" t="inlineStr"/>
      <c r="S71" s="42" t="inlineStr"/>
      <c r="T71" s="43">
        <f>IFERROR(E71*F71,0)+IFERROR(H71*I71,0)+IFERROR(K71*L71,0)+IFERROR(N71*O71,0)+IFERROR(Q71*R71,0)</f>
        <v/>
      </c>
      <c r="U71" s="44">
        <f>IFERROR(MAX(F71,I71,L71,O71,R71),0)</f>
        <v/>
      </c>
    </row>
    <row r="72" ht="22" customHeight="1">
      <c r="A72" s="45" t="n"/>
      <c r="B72" s="46" t="n">
        <v>6</v>
      </c>
      <c r="C72" s="47" t="inlineStr">
        <is>
          <t>Press Militar Barra Multipower</t>
        </is>
      </c>
      <c r="D72" s="48" t="inlineStr">
        <is>
          <t>3×7-9 RPS , RiR 1</t>
        </is>
      </c>
      <c r="E72" s="46" t="n">
        <v>8</v>
      </c>
      <c r="F72" s="46" t="n">
        <v>30</v>
      </c>
      <c r="G72" s="46" t="n">
        <v>1</v>
      </c>
      <c r="H72" s="46" t="n">
        <v>9</v>
      </c>
      <c r="I72" s="46" t="n">
        <v>20</v>
      </c>
      <c r="J72" s="46" t="n">
        <v>1</v>
      </c>
      <c r="K72" s="46" t="n">
        <v>7</v>
      </c>
      <c r="L72" s="46" t="n">
        <v>20</v>
      </c>
      <c r="M72" s="46" t="n">
        <v>1</v>
      </c>
      <c r="N72" s="49" t="inlineStr"/>
      <c r="O72" s="49" t="inlineStr"/>
      <c r="P72" s="49" t="inlineStr"/>
      <c r="Q72" s="49" t="inlineStr"/>
      <c r="R72" s="49" t="inlineStr"/>
      <c r="S72" s="49" t="inlineStr"/>
      <c r="T72" s="50">
        <f>IFERROR(E72*F72,0)+IFERROR(H72*I72,0)+IFERROR(K72*L72,0)+IFERROR(N72*O72,0)+IFERROR(Q72*R72,0)</f>
        <v/>
      </c>
      <c r="U72" s="51">
        <f>IFERROR(MAX(F72,I72,L72,O72,R72),0)</f>
        <v/>
      </c>
    </row>
    <row r="73" ht="22" customHeight="1">
      <c r="A73" s="38" t="n"/>
      <c r="B73" s="39" t="n">
        <v>7</v>
      </c>
      <c r="C73" s="40" t="inlineStr">
        <is>
          <t>Elev. laterales sentado mcna (Finisher)</t>
        </is>
      </c>
      <c r="D73" s="41" t="inlineStr">
        <is>
          <t>2×20-25 RPS , RiR 1</t>
        </is>
      </c>
      <c r="E73" s="39" t="n">
        <v>22</v>
      </c>
      <c r="F73" s="39" t="n">
        <v>6</v>
      </c>
      <c r="G73" s="39" t="n">
        <v>1</v>
      </c>
      <c r="H73" s="39" t="n">
        <v>21</v>
      </c>
      <c r="I73" s="39" t="n">
        <v>5</v>
      </c>
      <c r="J73" s="39" t="n">
        <v>1</v>
      </c>
      <c r="K73" s="42" t="inlineStr"/>
      <c r="L73" s="42" t="inlineStr"/>
      <c r="M73" s="42" t="inlineStr"/>
      <c r="N73" s="42" t="inlineStr"/>
      <c r="O73" s="42" t="inlineStr"/>
      <c r="P73" s="42" t="inlineStr"/>
      <c r="Q73" s="42" t="inlineStr"/>
      <c r="R73" s="42" t="inlineStr"/>
      <c r="S73" s="42" t="inlineStr"/>
      <c r="T73" s="43">
        <f>IFERROR(E73*F73,0)+IFERROR(H73*I73,0)+IFERROR(K73*L73,0)+IFERROR(N73*O73,0)+IFERROR(Q73*R73,0)</f>
        <v/>
      </c>
      <c r="U73" s="44">
        <f>IFERROR(MAX(F73,I73,L73,O73,R73),0)</f>
        <v/>
      </c>
    </row>
    <row r="74" ht="22" customHeight="1">
      <c r="A74" s="45" t="n"/>
      <c r="B74" s="46" t="n">
        <v>8</v>
      </c>
      <c r="C74" s="45" t="n"/>
      <c r="D74" s="45" t="n"/>
      <c r="E74" s="49" t="inlineStr"/>
      <c r="F74" s="49" t="inlineStr"/>
      <c r="G74" s="49" t="inlineStr"/>
      <c r="H74" s="49" t="inlineStr"/>
      <c r="I74" s="49" t="inlineStr"/>
      <c r="J74" s="49" t="inlineStr"/>
      <c r="K74" s="49" t="inlineStr"/>
      <c r="L74" s="49" t="inlineStr"/>
      <c r="M74" s="49" t="inlineStr"/>
      <c r="N74" s="49" t="inlineStr"/>
      <c r="O74" s="49" t="inlineStr"/>
      <c r="P74" s="49" t="inlineStr"/>
      <c r="Q74" s="49" t="inlineStr"/>
      <c r="R74" s="49" t="inlineStr"/>
      <c r="S74" s="49" t="inlineStr"/>
      <c r="T74" s="50">
        <f>IFERROR(E74*F74,0)+IFERROR(H74*I74,0)+IFERROR(K74*L74,0)+IFERROR(N74*O74,0)+IFERROR(Q74*R74,0)</f>
        <v/>
      </c>
      <c r="U74" s="51">
        <f>IFERROR(MAX(F74,I74,L74,O74,R74),0)</f>
        <v/>
      </c>
    </row>
    <row r="75" ht="22" customHeight="1">
      <c r="A75" s="38" t="n"/>
      <c r="B75" s="39" t="n">
        <v>9</v>
      </c>
      <c r="C75" s="38" t="n"/>
      <c r="D75" s="38" t="n"/>
      <c r="E75" s="42" t="inlineStr"/>
      <c r="F75" s="42" t="inlineStr"/>
      <c r="G75" s="42" t="inlineStr"/>
      <c r="H75" s="42" t="inlineStr"/>
      <c r="I75" s="42" t="inlineStr"/>
      <c r="J75" s="42" t="inlineStr"/>
      <c r="K75" s="42" t="inlineStr"/>
      <c r="L75" s="42" t="inlineStr"/>
      <c r="M75" s="42" t="inlineStr"/>
      <c r="N75" s="42" t="inlineStr"/>
      <c r="O75" s="42" t="inlineStr"/>
      <c r="P75" s="42" t="inlineStr"/>
      <c r="Q75" s="42" t="inlineStr"/>
      <c r="R75" s="42" t="inlineStr"/>
      <c r="S75" s="42" t="inlineStr"/>
      <c r="T75" s="43">
        <f>IFERROR(E75*F75,0)+IFERROR(H75*I75,0)+IFERROR(K75*L75,0)+IFERROR(N75*O75,0)+IFERROR(Q75*R75,0)</f>
        <v/>
      </c>
      <c r="U75" s="44">
        <f>IFERROR(MAX(F75,I75,L75,O75,R75),0)</f>
        <v/>
      </c>
    </row>
    <row r="76" ht="22" customHeight="1">
      <c r="A76" s="45" t="n"/>
      <c r="B76" s="46" t="n">
        <v>10</v>
      </c>
      <c r="C76" s="45" t="n"/>
      <c r="D76" s="45" t="n"/>
      <c r="E76" s="49" t="inlineStr"/>
      <c r="F76" s="49" t="inlineStr"/>
      <c r="G76" s="49" t="inlineStr"/>
      <c r="H76" s="49" t="inlineStr"/>
      <c r="I76" s="49" t="inlineStr"/>
      <c r="J76" s="49" t="inlineStr"/>
      <c r="K76" s="49" t="inlineStr"/>
      <c r="L76" s="49" t="inlineStr"/>
      <c r="M76" s="49" t="inlineStr"/>
      <c r="N76" s="49" t="inlineStr"/>
      <c r="O76" s="49" t="inlineStr"/>
      <c r="P76" s="49" t="inlineStr"/>
      <c r="Q76" s="49" t="inlineStr"/>
      <c r="R76" s="49" t="inlineStr"/>
      <c r="S76" s="49" t="inlineStr"/>
      <c r="T76" s="50">
        <f>IFERROR(E76*F76,0)+IFERROR(H76*I76,0)+IFERROR(K76*L76,0)+IFERROR(N76*O76,0)+IFERROR(Q76*R76,0)</f>
        <v/>
      </c>
      <c r="U76" s="51">
        <f>IFERROR(MAX(F76,I76,L76,O76,R76),0)</f>
        <v/>
      </c>
    </row>
    <row r="77" ht="24" customHeight="1">
      <c r="A77" s="52" t="n"/>
      <c r="B77" s="52" t="n"/>
      <c r="C77" s="53" t="inlineStr">
        <is>
          <t>TOTAL DÍA</t>
        </is>
      </c>
      <c r="D77" s="52" t="n"/>
      <c r="E77" s="52" t="n"/>
      <c r="F77" s="52" t="n"/>
      <c r="G77" s="52" t="n"/>
      <c r="H77" s="52" t="n"/>
      <c r="I77" s="52" t="n"/>
      <c r="J77" s="52" t="n"/>
      <c r="K77" s="52" t="n"/>
      <c r="L77" s="52" t="n"/>
      <c r="M77" s="52" t="n"/>
      <c r="N77" s="52" t="n"/>
      <c r="O77" s="52" t="n"/>
      <c r="P77" s="52" t="n"/>
      <c r="Q77" s="52" t="n"/>
      <c r="R77" s="52" t="n"/>
      <c r="S77" s="52" t="n"/>
      <c r="T77" s="54">
        <f>SUM(T67:T76)</f>
        <v/>
      </c>
      <c r="U77" s="55">
        <f>IFERROR(MAX(U67:U76),0)</f>
        <v/>
      </c>
    </row>
    <row r="78" ht="26" customHeight="1">
      <c r="A78" s="24" t="n"/>
      <c r="B78" s="25" t="inlineStr">
        <is>
          <t>Readiness (PRS):</t>
        </is>
      </c>
      <c r="C78" s="24" t="n"/>
      <c r="D78" s="56" t="inlineStr"/>
      <c r="E78" s="24" t="n"/>
      <c r="F78" s="25" t="inlineStr">
        <is>
          <t>RPE Post-Entreno:</t>
        </is>
      </c>
      <c r="G78" s="24" t="n"/>
      <c r="H78" s="56" t="inlineStr"/>
      <c r="I78" s="24" t="n"/>
      <c r="J78" s="25" t="inlineStr">
        <is>
          <t>Notas:</t>
        </is>
      </c>
      <c r="K78" s="57" t="inlineStr"/>
      <c r="L78" s="24" t="n"/>
      <c r="M78" s="24" t="n"/>
      <c r="N78" s="24" t="n"/>
      <c r="O78" s="24" t="n"/>
      <c r="P78" s="24" t="n"/>
      <c r="Q78" s="24" t="n"/>
      <c r="R78" s="24" t="n"/>
      <c r="S78" s="24" t="n"/>
      <c r="T78" s="24" t="n"/>
      <c r="U78" s="24" t="n"/>
    </row>
    <row r="79" ht="6" customHeight="1">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row>
    <row r="80" ht="26" customHeight="1">
      <c r="A80" s="30" t="n"/>
      <c r="B80" s="31" t="inlineStr">
        <is>
          <t>DÍA 6</t>
        </is>
      </c>
      <c r="C80" s="30" t="n"/>
      <c r="D80" s="30" t="n"/>
      <c r="E80" s="30" t="n"/>
      <c r="F80" s="30" t="n"/>
      <c r="G80" s="30" t="n"/>
      <c r="H80" s="30" t="n"/>
      <c r="I80" s="30" t="n"/>
      <c r="J80" s="30" t="n"/>
      <c r="K80" s="30" t="n"/>
      <c r="L80" s="30" t="n"/>
      <c r="M80" s="32" t="inlineStr">
        <is>
          <t>Fecha:</t>
        </is>
      </c>
      <c r="N80" s="11" t="inlineStr"/>
      <c r="O80" s="30" t="n"/>
      <c r="P80" s="32" t="inlineStr">
        <is>
          <t>Valoración:</t>
        </is>
      </c>
      <c r="Q80" s="33" t="inlineStr"/>
      <c r="R80" s="30" t="n"/>
      <c r="S80" s="30" t="n"/>
      <c r="T80" s="30" t="n"/>
      <c r="U80" s="30" t="n"/>
    </row>
    <row r="81" ht="20" customHeight="1">
      <c r="B81" s="34" t="inlineStr">
        <is>
          <t>#</t>
        </is>
      </c>
      <c r="C81" s="34" t="inlineStr">
        <is>
          <t>EJERCICIO</t>
        </is>
      </c>
      <c r="D81" s="34" t="inlineStr">
        <is>
          <t>PRESCRIPCIÓN</t>
        </is>
      </c>
      <c r="E81" s="35" t="inlineStr">
        <is>
          <t>SERIE 1</t>
        </is>
      </c>
      <c r="F81" s="30" t="n"/>
      <c r="G81" s="30" t="n"/>
      <c r="H81" s="35" t="inlineStr">
        <is>
          <t>SERIE 2</t>
        </is>
      </c>
      <c r="I81" s="30" t="n"/>
      <c r="J81" s="30" t="n"/>
      <c r="K81" s="35" t="inlineStr">
        <is>
          <t>SERIE 3</t>
        </is>
      </c>
      <c r="L81" s="30" t="n"/>
      <c r="M81" s="30" t="n"/>
      <c r="N81" s="35" t="inlineStr">
        <is>
          <t>SERIE 4</t>
        </is>
      </c>
      <c r="O81" s="30" t="n"/>
      <c r="P81" s="30" t="n"/>
      <c r="Q81" s="35" t="inlineStr">
        <is>
          <t>SERIE 5</t>
        </is>
      </c>
      <c r="R81" s="30" t="n"/>
      <c r="S81" s="30" t="n"/>
      <c r="T81" s="34" t="inlineStr">
        <is>
          <t>TONELAJE</t>
        </is>
      </c>
      <c r="U81" s="34" t="inlineStr">
        <is>
          <t>MAX</t>
        </is>
      </c>
    </row>
    <row r="82" ht="16" customHeight="1">
      <c r="B82" s="36" t="inlineStr"/>
      <c r="C82" s="36" t="inlineStr"/>
      <c r="D82" s="36" t="inlineStr"/>
      <c r="E82" s="37" t="inlineStr">
        <is>
          <t>RPS</t>
        </is>
      </c>
      <c r="F82" s="37" t="inlineStr">
        <is>
          <t>KGS</t>
        </is>
      </c>
      <c r="G82" s="37" t="inlineStr">
        <is>
          <t>RIR</t>
        </is>
      </c>
      <c r="H82" s="37" t="inlineStr">
        <is>
          <t>RPS</t>
        </is>
      </c>
      <c r="I82" s="37" t="inlineStr">
        <is>
          <t>KGS</t>
        </is>
      </c>
      <c r="J82" s="37" t="inlineStr">
        <is>
          <t>RIR</t>
        </is>
      </c>
      <c r="K82" s="37" t="inlineStr">
        <is>
          <t>RPS</t>
        </is>
      </c>
      <c r="L82" s="37" t="inlineStr">
        <is>
          <t>KGS</t>
        </is>
      </c>
      <c r="M82" s="37" t="inlineStr">
        <is>
          <t>RIR</t>
        </is>
      </c>
      <c r="N82" s="37" t="inlineStr">
        <is>
          <t>RPS</t>
        </is>
      </c>
      <c r="O82" s="37" t="inlineStr">
        <is>
          <t>KGS</t>
        </is>
      </c>
      <c r="P82" s="37" t="inlineStr">
        <is>
          <t>RIR</t>
        </is>
      </c>
      <c r="Q82" s="37" t="inlineStr">
        <is>
          <t>RPS</t>
        </is>
      </c>
      <c r="R82" s="37" t="inlineStr">
        <is>
          <t>KGS</t>
        </is>
      </c>
      <c r="S82" s="37" t="inlineStr">
        <is>
          <t>RIR</t>
        </is>
      </c>
      <c r="T82" s="36" t="inlineStr"/>
      <c r="U82" s="36" t="inlineStr"/>
    </row>
    <row r="83" ht="22" customHeight="1">
      <c r="A83" s="38" t="n"/>
      <c r="B83" s="39" t="n">
        <v>1</v>
      </c>
      <c r="C83" s="38" t="n"/>
      <c r="D83" s="38" t="n"/>
      <c r="E83" s="42" t="inlineStr"/>
      <c r="F83" s="42" t="inlineStr"/>
      <c r="G83" s="42" t="inlineStr"/>
      <c r="H83" s="42" t="inlineStr"/>
      <c r="I83" s="42" t="inlineStr"/>
      <c r="J83" s="42" t="inlineStr"/>
      <c r="K83" s="42" t="inlineStr"/>
      <c r="L83" s="42" t="inlineStr"/>
      <c r="M83" s="42" t="inlineStr"/>
      <c r="N83" s="42" t="inlineStr"/>
      <c r="O83" s="42" t="inlineStr"/>
      <c r="P83" s="42" t="inlineStr"/>
      <c r="Q83" s="42" t="inlineStr"/>
      <c r="R83" s="42" t="inlineStr"/>
      <c r="S83" s="42" t="inlineStr"/>
      <c r="T83" s="43">
        <f>IFERROR(E83*F83,0)+IFERROR(H83*I83,0)+IFERROR(K83*L83,0)+IFERROR(N83*O83,0)+IFERROR(Q83*R83,0)</f>
        <v/>
      </c>
      <c r="U83" s="44">
        <f>IFERROR(MAX(F83,I83,L83,O83,R83),0)</f>
        <v/>
      </c>
    </row>
    <row r="84" ht="22" customHeight="1">
      <c r="A84" s="45" t="n"/>
      <c r="B84" s="46" t="n">
        <v>2</v>
      </c>
      <c r="C84" s="45" t="n"/>
      <c r="D84" s="45" t="n"/>
      <c r="E84" s="49" t="inlineStr"/>
      <c r="F84" s="49" t="inlineStr"/>
      <c r="G84" s="49" t="inlineStr"/>
      <c r="H84" s="49" t="inlineStr"/>
      <c r="I84" s="49" t="inlineStr"/>
      <c r="J84" s="49" t="inlineStr"/>
      <c r="K84" s="49" t="inlineStr"/>
      <c r="L84" s="49" t="inlineStr"/>
      <c r="M84" s="49" t="inlineStr"/>
      <c r="N84" s="49" t="inlineStr"/>
      <c r="O84" s="49" t="inlineStr"/>
      <c r="P84" s="49" t="inlineStr"/>
      <c r="Q84" s="49" t="inlineStr"/>
      <c r="R84" s="49" t="inlineStr"/>
      <c r="S84" s="49" t="inlineStr"/>
      <c r="T84" s="50">
        <f>IFERROR(E84*F84,0)+IFERROR(H84*I84,0)+IFERROR(K84*L84,0)+IFERROR(N84*O84,0)+IFERROR(Q84*R84,0)</f>
        <v/>
      </c>
      <c r="U84" s="51">
        <f>IFERROR(MAX(F84,I84,L84,O84,R84),0)</f>
        <v/>
      </c>
    </row>
    <row r="85" ht="22" customHeight="1">
      <c r="A85" s="38" t="n"/>
      <c r="B85" s="39" t="n">
        <v>3</v>
      </c>
      <c r="C85" s="38" t="n"/>
      <c r="D85" s="38" t="n"/>
      <c r="E85" s="42" t="inlineStr"/>
      <c r="F85" s="42" t="inlineStr"/>
      <c r="G85" s="42" t="inlineStr"/>
      <c r="H85" s="42" t="inlineStr"/>
      <c r="I85" s="42" t="inlineStr"/>
      <c r="J85" s="42" t="inlineStr"/>
      <c r="K85" s="42" t="inlineStr"/>
      <c r="L85" s="42" t="inlineStr"/>
      <c r="M85" s="42" t="inlineStr"/>
      <c r="N85" s="42" t="inlineStr"/>
      <c r="O85" s="42" t="inlineStr"/>
      <c r="P85" s="42" t="inlineStr"/>
      <c r="Q85" s="42" t="inlineStr"/>
      <c r="R85" s="42" t="inlineStr"/>
      <c r="S85" s="42" t="inlineStr"/>
      <c r="T85" s="43">
        <f>IFERROR(E85*F85,0)+IFERROR(H85*I85,0)+IFERROR(K85*L85,0)+IFERROR(N85*O85,0)+IFERROR(Q85*R85,0)</f>
        <v/>
      </c>
      <c r="U85" s="44">
        <f>IFERROR(MAX(F85,I85,L85,O85,R85),0)</f>
        <v/>
      </c>
    </row>
    <row r="86" ht="24" customHeight="1">
      <c r="A86" s="52" t="n"/>
      <c r="B86" s="52" t="n"/>
      <c r="C86" s="53" t="inlineStr">
        <is>
          <t>TOTAL DÍA</t>
        </is>
      </c>
      <c r="D86" s="52" t="n"/>
      <c r="E86" s="52" t="n"/>
      <c r="F86" s="52" t="n"/>
      <c r="G86" s="52" t="n"/>
      <c r="H86" s="52" t="n"/>
      <c r="I86" s="52" t="n"/>
      <c r="J86" s="52" t="n"/>
      <c r="K86" s="52" t="n"/>
      <c r="L86" s="52" t="n"/>
      <c r="M86" s="52" t="n"/>
      <c r="N86" s="52" t="n"/>
      <c r="O86" s="52" t="n"/>
      <c r="P86" s="52" t="n"/>
      <c r="Q86" s="52" t="n"/>
      <c r="R86" s="52" t="n"/>
      <c r="S86" s="52" t="n"/>
      <c r="T86" s="54">
        <f>SUM(T83:T85)</f>
        <v/>
      </c>
      <c r="U86" s="55">
        <f>IFERROR(MAX(U83:U85),0)</f>
        <v/>
      </c>
    </row>
    <row r="87" ht="26" customHeight="1">
      <c r="A87" s="24" t="n"/>
      <c r="B87" s="25" t="inlineStr">
        <is>
          <t>Readiness (PRS):</t>
        </is>
      </c>
      <c r="C87" s="24" t="n"/>
      <c r="D87" s="56" t="inlineStr"/>
      <c r="E87" s="24" t="n"/>
      <c r="F87" s="25" t="inlineStr">
        <is>
          <t>RPE Post-Entreno:</t>
        </is>
      </c>
      <c r="G87" s="24" t="n"/>
      <c r="H87" s="56" t="inlineStr"/>
      <c r="I87" s="24" t="n"/>
      <c r="J87" s="25" t="inlineStr">
        <is>
          <t>Notas:</t>
        </is>
      </c>
      <c r="K87" s="57" t="inlineStr"/>
      <c r="L87" s="24" t="n"/>
      <c r="M87" s="24" t="n"/>
      <c r="N87" s="24" t="n"/>
      <c r="O87" s="24" t="n"/>
      <c r="P87" s="24" t="n"/>
      <c r="Q87" s="24" t="n"/>
      <c r="R87" s="24" t="n"/>
      <c r="S87" s="24" t="n"/>
      <c r="T87" s="24" t="n"/>
      <c r="U87" s="24" t="n"/>
    </row>
    <row r="88" ht="6" customHeight="1">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row>
    <row r="89">
      <c r="B89" s="63" t="inlineStr">
        <is>
          <t>INSTRUCCIONES</t>
        </is>
      </c>
    </row>
    <row r="90" ht="18" customHeight="1">
      <c r="B90" s="64" t="inlineStr">
        <is>
          <t>, Calentamiento + Movilidad: articulaciones con cuerpo/gomas</t>
        </is>
      </c>
    </row>
    <row r="91" ht="18" customHeight="1">
      <c r="B91" s="64" t="inlineStr">
        <is>
          <t>, Día 1: Planchas dinámicas 30-40 seg</t>
        </is>
      </c>
    </row>
    <row r="92" ht="18" customHeight="1">
      <c r="B92" s="64" t="inlineStr">
        <is>
          <t>, Día 2: Crunch Polea 2-3 Series + AB Wheel 3×15</t>
        </is>
      </c>
    </row>
  </sheetData>
  <mergeCells count="36">
    <mergeCell ref="K78:U78"/>
    <mergeCell ref="K81:M81"/>
    <mergeCell ref="K87:U87"/>
    <mergeCell ref="K34:U34"/>
    <mergeCell ref="K22:M22"/>
    <mergeCell ref="E65:G65"/>
    <mergeCell ref="N48:P48"/>
    <mergeCell ref="K45:U45"/>
    <mergeCell ref="H7:J7"/>
    <mergeCell ref="Q81:S81"/>
    <mergeCell ref="H81:J81"/>
    <mergeCell ref="Q22:S22"/>
    <mergeCell ref="H22:J22"/>
    <mergeCell ref="Q65:S65"/>
    <mergeCell ref="H37:J37"/>
    <mergeCell ref="H65:J65"/>
    <mergeCell ref="K48:M48"/>
    <mergeCell ref="E7:G7"/>
    <mergeCell ref="K7:M7"/>
    <mergeCell ref="H48:J48"/>
    <mergeCell ref="Q48:S48"/>
    <mergeCell ref="E81:G81"/>
    <mergeCell ref="K65:M65"/>
    <mergeCell ref="E22:G22"/>
    <mergeCell ref="N65:P65"/>
    <mergeCell ref="E37:G37"/>
    <mergeCell ref="K37:M37"/>
    <mergeCell ref="Q7:S7"/>
    <mergeCell ref="N7:P7"/>
    <mergeCell ref="Q37:S37"/>
    <mergeCell ref="N22:P22"/>
    <mergeCell ref="E48:G48"/>
    <mergeCell ref="N37:P37"/>
    <mergeCell ref="K19:U19"/>
    <mergeCell ref="N81:P81"/>
    <mergeCell ref="K62:U62"/>
  </mergeCells>
  <dataValidations count="2">
    <dataValidation sqref="W3" showDropDown="0" showInputMessage="0" showErrorMessage="0" allowBlank="1" type="list">
      <formula1>LISTAS!$E$2:$E$3</formula1>
    </dataValidation>
    <dataValidation sqref="C4 H4 M4 R4 W4" showDropDown="0" showInputMessage="0" showErrorMessage="0" allowBlank="1" type="list">
      <formula1>LISTAS!$C$2:$C$11</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D4A3E"/>
    <outlinePr summaryBelow="1" summaryRight="1"/>
    <pageSetUpPr/>
  </sheetPr>
  <dimension ref="A2:O7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 width="16" customWidth="1" min="15" max="15"/>
  </cols>
  <sheetData>
    <row r="1" ht="8" customHeight="1"/>
    <row r="2" ht="50" customHeight="1">
      <c r="A2" s="1" t="n"/>
      <c r="B2" s="2" t="inlineStr">
        <is>
          <t>A-THERAPY</t>
        </is>
      </c>
      <c r="C2" s="1" t="n"/>
      <c r="D2" s="1" t="n"/>
      <c r="E2" s="3" t="inlineStr">
        <is>
          <t>EVOLUCIÓN Y PROGRESIÓN</t>
        </is>
      </c>
      <c r="F2" s="1" t="n"/>
      <c r="G2" s="1" t="n"/>
      <c r="H2" s="1" t="n"/>
      <c r="I2" s="1" t="n"/>
      <c r="J2" s="1" t="n"/>
      <c r="K2" s="1" t="n"/>
      <c r="L2" s="1" t="n"/>
      <c r="M2" s="1" t="n"/>
      <c r="N2" s="1" t="n"/>
      <c r="O2" s="1" t="n"/>
    </row>
    <row r="4">
      <c r="B4" s="4" t="inlineStr">
        <is>
          <t>PESO CORPORAL</t>
        </is>
      </c>
    </row>
    <row r="5" ht="24" customHeight="1">
      <c r="B5" s="11" t="inlineStr">
        <is>
          <t>Semana</t>
        </is>
      </c>
      <c r="C5" s="11" t="inlineStr">
        <is>
          <t>Peso (kg)</t>
        </is>
      </c>
      <c r="D5" s="11" t="inlineStr">
        <is>
          <t>Δ vs Ant.</t>
        </is>
      </c>
      <c r="E5" s="11" t="inlineStr">
        <is>
          <t>% Cambio</t>
        </is>
      </c>
      <c r="F5" s="11" t="inlineStr">
        <is>
          <t>Objetivo</t>
        </is>
      </c>
      <c r="G5" s="11" t="inlineStr">
        <is>
          <t>Desviación</t>
        </is>
      </c>
    </row>
    <row r="6" ht="22" customHeight="1">
      <c r="B6" s="13" t="n">
        <v>1</v>
      </c>
      <c r="C6" s="65" t="inlineStr"/>
      <c r="D6" s="13" t="inlineStr">
        <is>
          <t>—</t>
        </is>
      </c>
      <c r="E6" s="13" t="inlineStr">
        <is>
          <t>—</t>
        </is>
      </c>
      <c r="F6" s="13" t="inlineStr"/>
      <c r="G6" s="66">
        <f>IFERROR(C6-F6,"")</f>
        <v/>
      </c>
    </row>
    <row r="7" ht="22" customHeight="1">
      <c r="B7" s="15" t="n">
        <v>2</v>
      </c>
      <c r="C7" s="67" t="inlineStr"/>
      <c r="D7" s="68">
        <f>IFERROR(C7-C6,"")</f>
        <v/>
      </c>
      <c r="E7" s="69">
        <f>IFERROR((C7-C6)/C6,"")</f>
        <v/>
      </c>
      <c r="F7" s="15" t="inlineStr"/>
      <c r="G7" s="68">
        <f>IFERROR(C7-F7,"")</f>
        <v/>
      </c>
    </row>
    <row r="8" ht="22" customHeight="1">
      <c r="B8" s="13" t="n">
        <v>3</v>
      </c>
      <c r="C8" s="70" t="inlineStr"/>
      <c r="D8" s="66">
        <f>IFERROR(C8-C7,"")</f>
        <v/>
      </c>
      <c r="E8" s="71">
        <f>IFERROR((C8-C7)/C7,"")</f>
        <v/>
      </c>
      <c r="F8" s="13" t="inlineStr"/>
      <c r="G8" s="66">
        <f>IFERROR(C8-F8,"")</f>
        <v/>
      </c>
    </row>
    <row r="9" ht="22" customHeight="1">
      <c r="B9" s="15" t="n">
        <v>4</v>
      </c>
      <c r="C9" s="67" t="inlineStr"/>
      <c r="D9" s="68">
        <f>IFERROR(C9-C8,"")</f>
        <v/>
      </c>
      <c r="E9" s="69">
        <f>IFERROR((C9-C8)/C8,"")</f>
        <v/>
      </c>
      <c r="F9" s="15" t="inlineStr"/>
      <c r="G9" s="68">
        <f>IFERROR(C9-F9,"")</f>
        <v/>
      </c>
    </row>
    <row r="10" ht="22" customHeight="1">
      <c r="B10" s="13" t="n">
        <v>5</v>
      </c>
      <c r="C10" s="70" t="inlineStr"/>
      <c r="D10" s="66">
        <f>IFERROR(C10-C9,"")</f>
        <v/>
      </c>
      <c r="E10" s="71">
        <f>IFERROR((C10-C9)/C9,"")</f>
        <v/>
      </c>
      <c r="F10" s="13" t="inlineStr"/>
      <c r="G10" s="66">
        <f>IFERROR(C10-F10,"")</f>
        <v/>
      </c>
    </row>
    <row r="11" ht="22" customHeight="1">
      <c r="B11" s="15" t="n">
        <v>6</v>
      </c>
      <c r="C11" s="67" t="inlineStr"/>
      <c r="D11" s="68">
        <f>IFERROR(C11-C10,"")</f>
        <v/>
      </c>
      <c r="E11" s="69">
        <f>IFERROR((C11-C10)/C10,"")</f>
        <v/>
      </c>
      <c r="F11" s="15" t="inlineStr"/>
      <c r="G11" s="68">
        <f>IFERROR(C11-F11,"")</f>
        <v/>
      </c>
    </row>
    <row r="12" ht="22" customHeight="1">
      <c r="B12" s="13" t="n">
        <v>7</v>
      </c>
      <c r="C12" s="70" t="inlineStr"/>
      <c r="D12" s="66">
        <f>IFERROR(C12-C11,"")</f>
        <v/>
      </c>
      <c r="E12" s="71">
        <f>IFERROR((C12-C11)/C11,"")</f>
        <v/>
      </c>
      <c r="F12" s="13" t="inlineStr"/>
      <c r="G12" s="66">
        <f>IFERROR(C12-F12,"")</f>
        <v/>
      </c>
    </row>
    <row r="13" ht="22" customHeight="1">
      <c r="B13" s="15" t="n">
        <v>8</v>
      </c>
      <c r="C13" s="67" t="inlineStr"/>
      <c r="D13" s="68">
        <f>IFERROR(C13-C12,"")</f>
        <v/>
      </c>
      <c r="E13" s="69">
        <f>IFERROR((C13-C12)/C12,"")</f>
        <v/>
      </c>
      <c r="F13" s="15" t="inlineStr"/>
      <c r="G13" s="68">
        <f>IFERROR(C13-F13,"")</f>
        <v/>
      </c>
    </row>
    <row r="15">
      <c r="B15" s="4" t="inlineStr">
        <is>
          <t>ELEVACIONES PRINCIPALES (KG)</t>
        </is>
      </c>
    </row>
    <row r="16" ht="24" customHeight="1">
      <c r="B16" s="11" t="inlineStr">
        <is>
          <t>Ejercicio</t>
        </is>
      </c>
      <c r="C16" s="11" t="inlineStr">
        <is>
          <t>S1</t>
        </is>
      </c>
      <c r="D16" s="11" t="inlineStr">
        <is>
          <t>S2</t>
        </is>
      </c>
      <c r="E16" s="11" t="inlineStr">
        <is>
          <t>S3</t>
        </is>
      </c>
      <c r="F16" s="11" t="inlineStr">
        <is>
          <t>S4</t>
        </is>
      </c>
      <c r="G16" s="11" t="inlineStr">
        <is>
          <t>S5</t>
        </is>
      </c>
      <c r="H16" s="11" t="inlineStr">
        <is>
          <t>S6</t>
        </is>
      </c>
      <c r="I16" s="11" t="inlineStr">
        <is>
          <t>S7</t>
        </is>
      </c>
      <c r="J16" s="11" t="inlineStr">
        <is>
          <t>S8</t>
        </is>
      </c>
    </row>
    <row r="17" ht="22" customHeight="1">
      <c r="B17" s="72" t="inlineStr">
        <is>
          <t>Sentadilla</t>
        </is>
      </c>
      <c r="J17" s="13" t="inlineStr"/>
    </row>
    <row r="18" ht="22" customHeight="1">
      <c r="B18" s="73" t="inlineStr">
        <is>
          <t>Press Banca</t>
        </is>
      </c>
      <c r="J18" s="15" t="inlineStr"/>
    </row>
    <row r="19" ht="22" customHeight="1">
      <c r="B19" s="72" t="inlineStr">
        <is>
          <t>Peso Muerto</t>
        </is>
      </c>
      <c r="J19" s="13" t="inlineStr"/>
    </row>
    <row r="20" ht="22" customHeight="1">
      <c r="B20" s="73" t="inlineStr">
        <is>
          <t>Jalón Alto</t>
        </is>
      </c>
      <c r="J20" s="15" t="inlineStr"/>
    </row>
    <row r="21" ht="22" customHeight="1">
      <c r="B21" s="72" t="inlineStr">
        <is>
          <t>Press Militar</t>
        </is>
      </c>
      <c r="J21" s="13" t="inlineStr"/>
    </row>
    <row r="23">
      <c r="B23" s="4" t="inlineStr">
        <is>
          <t>VOLUMEN SEMANAL (TONELAJE TOTAL KG)</t>
        </is>
      </c>
    </row>
    <row r="24" ht="24" customHeight="1">
      <c r="B24" s="11" t="inlineStr">
        <is>
          <t>Semana</t>
        </is>
      </c>
      <c r="C24" s="11" t="inlineStr">
        <is>
          <t>S1</t>
        </is>
      </c>
      <c r="D24" s="11" t="inlineStr">
        <is>
          <t>S2</t>
        </is>
      </c>
      <c r="E24" s="11" t="inlineStr">
        <is>
          <t>S3</t>
        </is>
      </c>
      <c r="F24" s="11" t="inlineStr">
        <is>
          <t>S4</t>
        </is>
      </c>
      <c r="G24" s="11" t="inlineStr">
        <is>
          <t>S5</t>
        </is>
      </c>
      <c r="H24" s="11" t="inlineStr">
        <is>
          <t>S6</t>
        </is>
      </c>
      <c r="I24" s="11" t="inlineStr">
        <is>
          <t>S7</t>
        </is>
      </c>
      <c r="J24" s="11" t="inlineStr">
        <is>
          <t>S8</t>
        </is>
      </c>
    </row>
    <row r="25" ht="22" customHeight="1">
      <c r="B25" s="72" t="inlineStr">
        <is>
          <t>Tonelaje</t>
        </is>
      </c>
      <c r="C25" s="74" t="n">
        <v>7276</v>
      </c>
      <c r="D25" s="75" t="inlineStr"/>
      <c r="E25" s="76" t="inlineStr"/>
      <c r="F25" s="75" t="inlineStr"/>
      <c r="G25" s="76" t="inlineStr"/>
      <c r="H25" s="75" t="inlineStr"/>
      <c r="I25" s="76" t="inlineStr"/>
      <c r="J25" s="75" t="inlineStr"/>
    </row>
    <row r="42">
      <c r="B42" s="4" t="inlineStr">
        <is>
          <t>RPE MEDIO POR SEMANA</t>
        </is>
      </c>
    </row>
    <row r="43" ht="24" customHeight="1">
      <c r="B43" s="11" t="inlineStr">
        <is>
          <t>Semana</t>
        </is>
      </c>
      <c r="C43" s="11" t="inlineStr">
        <is>
          <t>S1</t>
        </is>
      </c>
      <c r="D43" s="11" t="inlineStr">
        <is>
          <t>S2</t>
        </is>
      </c>
      <c r="E43" s="11" t="inlineStr">
        <is>
          <t>S3</t>
        </is>
      </c>
      <c r="F43" s="11" t="inlineStr">
        <is>
          <t>S4</t>
        </is>
      </c>
      <c r="G43" s="11" t="inlineStr">
        <is>
          <t>S5</t>
        </is>
      </c>
      <c r="H43" s="11" t="inlineStr">
        <is>
          <t>S6</t>
        </is>
      </c>
      <c r="I43" s="11" t="inlineStr">
        <is>
          <t>S7</t>
        </is>
      </c>
      <c r="J43" s="11" t="inlineStr">
        <is>
          <t>S8</t>
        </is>
      </c>
    </row>
    <row r="44" ht="22" customHeight="1">
      <c r="B44" s="72" t="inlineStr">
        <is>
          <t>RPE Medio</t>
        </is>
      </c>
      <c r="C44" s="77" t="inlineStr"/>
      <c r="D44" s="78" t="inlineStr"/>
      <c r="E44" s="79" t="inlineStr"/>
      <c r="F44" s="78" t="inlineStr"/>
      <c r="G44" s="79" t="inlineStr"/>
      <c r="H44" s="78" t="inlineStr"/>
      <c r="I44" s="79" t="inlineStr"/>
      <c r="J44" s="78" t="inlineStr"/>
    </row>
    <row r="78">
      <c r="B78" s="23" t="inlineStr">
        <is>
          <t>A-THERAPY  ,  Fuerza , Ciencia , Rendimiento</t>
        </is>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s>
  <sheetData>
    <row r="1">
      <c r="A1" s="11" t="inlineStr">
        <is>
          <t>Tipo Entreno</t>
        </is>
      </c>
      <c r="B1" s="11" t="inlineStr">
        <is>
          <t>Valoración</t>
        </is>
      </c>
      <c r="C1" s="11" t="inlineStr">
        <is>
          <t>Escala 1-10</t>
        </is>
      </c>
      <c r="D1" s="11" t="inlineStr">
        <is>
          <t>RIR</t>
        </is>
      </c>
      <c r="E1" s="11" t="inlineStr">
        <is>
          <t>Sí/No</t>
        </is>
      </c>
    </row>
    <row r="2">
      <c r="A2" s="13" t="inlineStr">
        <is>
          <t>Upper A</t>
        </is>
      </c>
      <c r="B2" s="13" t="inlineStr">
        <is>
          <t>BUENO</t>
        </is>
      </c>
      <c r="C2" s="13" t="inlineStr">
        <is>
          <t>1</t>
        </is>
      </c>
      <c r="D2" s="13" t="inlineStr">
        <is>
          <t>0</t>
        </is>
      </c>
      <c r="E2" s="13" t="inlineStr">
        <is>
          <t>SI</t>
        </is>
      </c>
    </row>
    <row r="3">
      <c r="A3" s="15" t="inlineStr">
        <is>
          <t>Upper B</t>
        </is>
      </c>
      <c r="B3" s="15" t="inlineStr">
        <is>
          <t>REGULAR</t>
        </is>
      </c>
      <c r="C3" s="15" t="inlineStr">
        <is>
          <t>2</t>
        </is>
      </c>
      <c r="D3" s="15" t="inlineStr">
        <is>
          <t>0-1</t>
        </is>
      </c>
      <c r="E3" s="15" t="inlineStr">
        <is>
          <t>NO</t>
        </is>
      </c>
    </row>
    <row r="4">
      <c r="A4" s="13" t="inlineStr">
        <is>
          <t>LEG A</t>
        </is>
      </c>
      <c r="B4" s="13" t="inlineStr">
        <is>
          <t>MALO</t>
        </is>
      </c>
      <c r="C4" s="13" t="inlineStr">
        <is>
          <t>3</t>
        </is>
      </c>
      <c r="D4" s="13" t="inlineStr">
        <is>
          <t>1</t>
        </is>
      </c>
    </row>
    <row r="5">
      <c r="A5" s="15" t="inlineStr">
        <is>
          <t>LEG B</t>
        </is>
      </c>
      <c r="B5" s="15" t="inlineStr">
        <is>
          <t>EXCEPCIONAL</t>
        </is>
      </c>
      <c r="C5" s="15" t="inlineStr">
        <is>
          <t>4</t>
        </is>
      </c>
      <c r="D5" s="15" t="inlineStr">
        <is>
          <t>1-2</t>
        </is>
      </c>
    </row>
    <row r="6">
      <c r="A6" s="13" t="inlineStr">
        <is>
          <t>Full Body</t>
        </is>
      </c>
      <c r="C6" s="13" t="inlineStr">
        <is>
          <t>5</t>
        </is>
      </c>
      <c r="D6" s="13" t="inlineStr">
        <is>
          <t>2</t>
        </is>
      </c>
    </row>
    <row r="7">
      <c r="A7" s="15" t="inlineStr">
        <is>
          <t>PUSH</t>
        </is>
      </c>
      <c r="C7" s="15" t="inlineStr">
        <is>
          <t>6</t>
        </is>
      </c>
      <c r="D7" s="15" t="inlineStr">
        <is>
          <t>2-3</t>
        </is>
      </c>
    </row>
    <row r="8">
      <c r="A8" s="13" t="inlineStr">
        <is>
          <t>PULL</t>
        </is>
      </c>
      <c r="C8" s="13" t="inlineStr">
        <is>
          <t>7</t>
        </is>
      </c>
      <c r="D8" s="13" t="inlineStr">
        <is>
          <t>3</t>
        </is>
      </c>
    </row>
    <row r="9">
      <c r="A9" s="15" t="inlineStr">
        <is>
          <t>REST</t>
        </is>
      </c>
      <c r="C9" s="15" t="inlineStr">
        <is>
          <t>8</t>
        </is>
      </c>
    </row>
    <row r="10">
      <c r="A10" s="13" t="inlineStr">
        <is>
          <t>Movilidad</t>
        </is>
      </c>
      <c r="C10" s="13" t="inlineStr">
        <is>
          <t>9</t>
        </is>
      </c>
    </row>
    <row r="11">
      <c r="A11" s="15" t="inlineStr">
        <is>
          <t>Cardio</t>
        </is>
      </c>
      <c r="C11" s="15" t="inlineStr">
        <is>
          <t>10</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A-THERAPY</dc:creator>
  <dc:title xmlns:dc="http://purl.org/dc/elements/1.1/">A-THERAPY Seguimiento Profesional</dc:title>
  <dcterms:created xmlns:dcterms="http://purl.org/dc/terms/" xmlns:xsi="http://www.w3.org/2001/XMLSchema-instance" xsi:type="dcterms:W3CDTF">2026-08-31T14:36:22Z</dcterms:created>
  <dcterms:modified xmlns:dcterms="http://purl.org/dc/terms/" xmlns:xsi="http://www.w3.org/2001/XMLSchema-instance" xsi:type="dcterms:W3CDTF">2026-08-31T14:36:22Z</dcterms:modified>
</cp:coreProperties>
</file>